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2 Excel\"/>
    </mc:Choice>
  </mc:AlternateContent>
  <bookViews>
    <workbookView xWindow="0" yWindow="0" windowWidth="19200" windowHeight="6930"/>
  </bookViews>
  <sheets>
    <sheet name="Production Dataset" sheetId="1" r:id="rId1"/>
  </sheets>
  <definedNames>
    <definedName name="_xlnm._FilterDatabase" localSheetId="0" hidden="1">'Production Dataset'!$A$1:$M$121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C2" i="1" l="1"/>
  <c r="D2" i="1"/>
  <c r="M2" i="1"/>
  <c r="C3" i="1"/>
  <c r="D3" i="1"/>
  <c r="M3" i="1"/>
  <c r="C4" i="1"/>
  <c r="D4" i="1"/>
  <c r="M4" i="1"/>
  <c r="C5" i="1"/>
  <c r="D5" i="1"/>
  <c r="M5" i="1"/>
  <c r="C6" i="1"/>
  <c r="D6" i="1"/>
  <c r="M6" i="1"/>
  <c r="C7" i="1"/>
  <c r="D7" i="1"/>
  <c r="M7" i="1"/>
  <c r="C8" i="1"/>
  <c r="D8" i="1"/>
  <c r="M8" i="1"/>
  <c r="C9" i="1"/>
  <c r="D9" i="1"/>
  <c r="M9" i="1"/>
  <c r="C10" i="1"/>
  <c r="D10" i="1"/>
  <c r="M10" i="1"/>
  <c r="C11" i="1"/>
  <c r="D11" i="1"/>
  <c r="M11" i="1"/>
  <c r="C12" i="1"/>
  <c r="D12" i="1"/>
  <c r="M12" i="1"/>
  <c r="C13" i="1"/>
  <c r="D13" i="1"/>
  <c r="M13" i="1"/>
  <c r="C14" i="1"/>
  <c r="D14" i="1"/>
  <c r="M14" i="1"/>
  <c r="C15" i="1"/>
  <c r="D15" i="1"/>
  <c r="M15" i="1"/>
  <c r="C16" i="1"/>
  <c r="D16" i="1"/>
  <c r="M16" i="1"/>
  <c r="C17" i="1"/>
  <c r="D17" i="1"/>
  <c r="M17" i="1"/>
  <c r="C18" i="1"/>
  <c r="D18" i="1"/>
  <c r="M18" i="1"/>
  <c r="C19" i="1"/>
  <c r="D19" i="1"/>
  <c r="M19" i="1"/>
  <c r="C20" i="1"/>
  <c r="D20" i="1"/>
  <c r="M20" i="1"/>
  <c r="C21" i="1"/>
  <c r="D21" i="1"/>
  <c r="M21" i="1"/>
  <c r="C22" i="1"/>
  <c r="D22" i="1"/>
  <c r="M22" i="1"/>
  <c r="C23" i="1"/>
  <c r="D23" i="1"/>
  <c r="M23" i="1"/>
  <c r="C24" i="1"/>
  <c r="D24" i="1"/>
  <c r="M24" i="1"/>
  <c r="C25" i="1"/>
  <c r="D25" i="1"/>
  <c r="M25" i="1"/>
  <c r="C26" i="1"/>
  <c r="D26" i="1"/>
  <c r="M26" i="1"/>
  <c r="C27" i="1"/>
  <c r="D27" i="1"/>
  <c r="M27" i="1"/>
  <c r="C28" i="1"/>
  <c r="D28" i="1"/>
  <c r="M28" i="1"/>
  <c r="C29" i="1"/>
  <c r="D29" i="1"/>
  <c r="M29" i="1"/>
  <c r="C30" i="1"/>
  <c r="D30" i="1"/>
  <c r="M30" i="1"/>
  <c r="C31" i="1"/>
  <c r="D31" i="1"/>
  <c r="M31" i="1"/>
  <c r="C32" i="1"/>
  <c r="D32" i="1"/>
  <c r="M32" i="1"/>
  <c r="C33" i="1"/>
  <c r="D33" i="1"/>
  <c r="M33" i="1"/>
  <c r="C34" i="1"/>
  <c r="D34" i="1"/>
  <c r="M34" i="1"/>
  <c r="C35" i="1"/>
  <c r="D35" i="1"/>
  <c r="M35" i="1"/>
  <c r="C36" i="1"/>
  <c r="D36" i="1"/>
  <c r="M36" i="1"/>
  <c r="C37" i="1"/>
  <c r="D37" i="1"/>
  <c r="M37" i="1"/>
  <c r="C38" i="1"/>
  <c r="D38" i="1"/>
  <c r="M38" i="1"/>
  <c r="C39" i="1"/>
  <c r="D39" i="1"/>
  <c r="M39" i="1"/>
  <c r="C40" i="1"/>
  <c r="D40" i="1"/>
  <c r="M40" i="1"/>
  <c r="C41" i="1"/>
  <c r="D41" i="1"/>
  <c r="M41" i="1"/>
  <c r="C42" i="1"/>
  <c r="D42" i="1"/>
  <c r="M42" i="1"/>
  <c r="C43" i="1"/>
  <c r="D43" i="1"/>
  <c r="M43" i="1"/>
  <c r="C44" i="1"/>
  <c r="D44" i="1"/>
  <c r="M44" i="1"/>
  <c r="C45" i="1"/>
  <c r="D45" i="1"/>
  <c r="M45" i="1"/>
  <c r="C46" i="1"/>
  <c r="D46" i="1"/>
  <c r="M46" i="1"/>
  <c r="C47" i="1"/>
  <c r="D47" i="1"/>
  <c r="M47" i="1"/>
  <c r="C48" i="1"/>
  <c r="D48" i="1"/>
  <c r="M48" i="1"/>
  <c r="C49" i="1"/>
  <c r="D49" i="1"/>
  <c r="M49" i="1"/>
  <c r="C50" i="1"/>
  <c r="D50" i="1"/>
  <c r="M50" i="1"/>
  <c r="C51" i="1"/>
  <c r="D51" i="1"/>
  <c r="M51" i="1"/>
  <c r="C52" i="1"/>
  <c r="D52" i="1"/>
  <c r="M52" i="1"/>
  <c r="C53" i="1"/>
  <c r="D53" i="1"/>
  <c r="M53" i="1"/>
  <c r="C54" i="1"/>
  <c r="D54" i="1"/>
  <c r="M54" i="1"/>
  <c r="C55" i="1"/>
  <c r="D55" i="1"/>
  <c r="M55" i="1"/>
  <c r="C56" i="1"/>
  <c r="D56" i="1"/>
  <c r="M56" i="1"/>
  <c r="C57" i="1"/>
  <c r="D57" i="1"/>
  <c r="M57" i="1"/>
  <c r="C58" i="1"/>
  <c r="D58" i="1"/>
  <c r="M58" i="1"/>
  <c r="C59" i="1"/>
  <c r="D59" i="1"/>
  <c r="M59" i="1"/>
  <c r="C60" i="1"/>
  <c r="D60" i="1"/>
  <c r="M60" i="1"/>
  <c r="C61" i="1"/>
  <c r="D61" i="1"/>
  <c r="M61" i="1"/>
  <c r="C62" i="1"/>
  <c r="D62" i="1"/>
  <c r="M62" i="1"/>
  <c r="C63" i="1"/>
  <c r="D63" i="1"/>
  <c r="M63" i="1"/>
  <c r="C64" i="1"/>
  <c r="D64" i="1"/>
  <c r="M64" i="1"/>
  <c r="C65" i="1"/>
  <c r="D65" i="1"/>
  <c r="M65" i="1"/>
  <c r="C66" i="1"/>
  <c r="D66" i="1"/>
  <c r="M66" i="1"/>
  <c r="C67" i="1"/>
  <c r="D67" i="1"/>
  <c r="M67" i="1"/>
  <c r="C68" i="1"/>
  <c r="D68" i="1"/>
  <c r="M68" i="1"/>
  <c r="C69" i="1"/>
  <c r="D69" i="1"/>
  <c r="M69" i="1"/>
  <c r="C70" i="1"/>
  <c r="D70" i="1"/>
  <c r="M70" i="1"/>
  <c r="C71" i="1"/>
  <c r="D71" i="1"/>
  <c r="M71" i="1"/>
  <c r="C72" i="1"/>
  <c r="D72" i="1"/>
  <c r="M72" i="1"/>
  <c r="C73" i="1"/>
  <c r="D73" i="1"/>
  <c r="M73" i="1"/>
  <c r="C74" i="1"/>
  <c r="D74" i="1"/>
  <c r="M74" i="1"/>
  <c r="C75" i="1"/>
  <c r="D75" i="1"/>
  <c r="M75" i="1"/>
  <c r="C76" i="1"/>
  <c r="D76" i="1"/>
  <c r="M76" i="1"/>
  <c r="C77" i="1"/>
  <c r="D77" i="1"/>
  <c r="M77" i="1"/>
  <c r="C78" i="1"/>
  <c r="D78" i="1"/>
  <c r="M78" i="1"/>
  <c r="C79" i="1"/>
  <c r="D79" i="1"/>
  <c r="M79" i="1"/>
  <c r="C80" i="1"/>
  <c r="D80" i="1"/>
  <c r="M80" i="1"/>
  <c r="C81" i="1"/>
  <c r="D81" i="1"/>
  <c r="M81" i="1"/>
  <c r="C82" i="1"/>
  <c r="D82" i="1"/>
  <c r="M82" i="1"/>
  <c r="C83" i="1"/>
  <c r="D83" i="1"/>
  <c r="M83" i="1"/>
  <c r="C84" i="1"/>
  <c r="D84" i="1"/>
  <c r="M84" i="1"/>
  <c r="C85" i="1"/>
  <c r="D85" i="1"/>
  <c r="M85" i="1"/>
  <c r="C86" i="1"/>
  <c r="D86" i="1"/>
  <c r="M86" i="1"/>
  <c r="C87" i="1"/>
  <c r="D87" i="1"/>
  <c r="M87" i="1"/>
  <c r="C88" i="1"/>
  <c r="D88" i="1"/>
  <c r="M88" i="1"/>
  <c r="C89" i="1"/>
  <c r="D89" i="1"/>
  <c r="M89" i="1"/>
  <c r="C90" i="1"/>
  <c r="D90" i="1"/>
  <c r="M90" i="1"/>
  <c r="C91" i="1"/>
  <c r="D91" i="1"/>
  <c r="M91" i="1"/>
  <c r="C92" i="1"/>
  <c r="D92" i="1"/>
  <c r="M92" i="1"/>
  <c r="C93" i="1"/>
  <c r="D93" i="1"/>
  <c r="M93" i="1"/>
  <c r="C94" i="1"/>
  <c r="D94" i="1"/>
  <c r="M94" i="1"/>
  <c r="C95" i="1"/>
  <c r="D95" i="1"/>
  <c r="M95" i="1"/>
  <c r="C96" i="1"/>
  <c r="D96" i="1"/>
  <c r="M96" i="1"/>
  <c r="C97" i="1"/>
  <c r="D97" i="1"/>
  <c r="M97" i="1"/>
  <c r="C98" i="1"/>
  <c r="D98" i="1"/>
  <c r="M98" i="1"/>
  <c r="C99" i="1"/>
  <c r="D99" i="1"/>
  <c r="M99" i="1"/>
  <c r="C100" i="1"/>
  <c r="D100" i="1"/>
  <c r="M100" i="1"/>
  <c r="C101" i="1"/>
  <c r="D101" i="1"/>
  <c r="M101" i="1"/>
  <c r="C102" i="1"/>
  <c r="D102" i="1"/>
  <c r="M102" i="1"/>
  <c r="C103" i="1"/>
  <c r="D103" i="1"/>
  <c r="M103" i="1"/>
  <c r="C104" i="1"/>
  <c r="D104" i="1"/>
  <c r="M104" i="1"/>
  <c r="C105" i="1"/>
  <c r="D105" i="1"/>
  <c r="M105" i="1"/>
  <c r="C106" i="1"/>
  <c r="D106" i="1"/>
  <c r="M106" i="1"/>
  <c r="C107" i="1"/>
  <c r="D107" i="1"/>
  <c r="M107" i="1"/>
  <c r="C108" i="1"/>
  <c r="D108" i="1"/>
  <c r="M108" i="1"/>
  <c r="C109" i="1"/>
  <c r="D109" i="1"/>
  <c r="M109" i="1"/>
  <c r="C110" i="1"/>
  <c r="D110" i="1"/>
  <c r="M110" i="1"/>
  <c r="C111" i="1"/>
  <c r="D111" i="1"/>
  <c r="M111" i="1"/>
  <c r="C112" i="1"/>
  <c r="D112" i="1"/>
  <c r="M112" i="1"/>
  <c r="C113" i="1"/>
  <c r="D113" i="1"/>
  <c r="M113" i="1"/>
  <c r="C114" i="1"/>
  <c r="D114" i="1"/>
  <c r="M114" i="1"/>
  <c r="C115" i="1"/>
  <c r="D115" i="1"/>
  <c r="M115" i="1"/>
  <c r="C116" i="1"/>
  <c r="D116" i="1"/>
  <c r="M116" i="1"/>
  <c r="C117" i="1"/>
  <c r="D117" i="1"/>
  <c r="M117" i="1"/>
  <c r="C118" i="1"/>
  <c r="D118" i="1"/>
  <c r="M118" i="1"/>
  <c r="C119" i="1"/>
  <c r="D119" i="1"/>
  <c r="M119" i="1"/>
  <c r="C120" i="1"/>
  <c r="D120" i="1"/>
  <c r="M120" i="1"/>
  <c r="C121" i="1"/>
  <c r="D121" i="1"/>
  <c r="M121" i="1"/>
</calcChain>
</file>

<file path=xl/sharedStrings.xml><?xml version="1.0" encoding="utf-8"?>
<sst xmlns="http://schemas.openxmlformats.org/spreadsheetml/2006/main" count="493" uniqueCount="34">
  <si>
    <t>Male</t>
  </si>
  <si>
    <t>Furniture</t>
  </si>
  <si>
    <t>Nancy Grey</t>
  </si>
  <si>
    <t>South</t>
  </si>
  <si>
    <t>Machinery</t>
  </si>
  <si>
    <t>East</t>
  </si>
  <si>
    <t>Electronics</t>
  </si>
  <si>
    <t>North</t>
  </si>
  <si>
    <t>Sarah Lee</t>
  </si>
  <si>
    <t>Automobiles</t>
  </si>
  <si>
    <t>West</t>
  </si>
  <si>
    <t>Emily Davis</t>
  </si>
  <si>
    <t>Female</t>
  </si>
  <si>
    <t>Andrew Blue</t>
  </si>
  <si>
    <t>John Doe</t>
  </si>
  <si>
    <t>David White</t>
  </si>
  <si>
    <t>Jane Smith</t>
  </si>
  <si>
    <t>Chris Green</t>
  </si>
  <si>
    <t>Laura Black</t>
  </si>
  <si>
    <t>Unknown</t>
  </si>
  <si>
    <t>Mike Brown</t>
  </si>
  <si>
    <t>Age Group</t>
  </si>
  <si>
    <t>Age</t>
  </si>
  <si>
    <t>Gender</t>
  </si>
  <si>
    <t>TotalCost</t>
  </si>
  <si>
    <t>UnitsProduced</t>
  </si>
  <si>
    <t>ProductType</t>
  </si>
  <si>
    <t>Manager</t>
  </si>
  <si>
    <t>Region</t>
  </si>
  <si>
    <t>Year</t>
  </si>
  <si>
    <t>Month</t>
  </si>
  <si>
    <t>ProductionDate</t>
  </si>
  <si>
    <t>ProductionID</t>
  </si>
  <si>
    <t>ProductionCost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</si>
</sst>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1" totalsRowShown="0">
  <autoFilter ref="A1:M121"/>
  <tableColumns count="13">
    <tableColumn id="1" name="ProductionID"/>
    <tableColumn id="2" name="ProductionDate" dataDxfId="3"/>
    <tableColumn id="3" name="Month" dataDxfId="2">
      <calculatedColumnFormula>TEXT(B2,"mmm")</calculatedColumnFormula>
    </tableColumn>
    <tableColumn id="4" name="Year" dataDxfId="1">
      <calculatedColumnFormula>TEXT(B2,"YYYY")</calculatedColumnFormula>
    </tableColumn>
    <tableColumn id="5" name="Region"/>
    <tableColumn id="6" name="Manager"/>
    <tableColumn id="7" name="ProductType"/>
    <tableColumn id="8" name="UnitsProduced"/>
    <tableColumn id="9" name="TotalCost"/>
    <tableColumn id="10" name="ProductionCost" dataDxfId="0">
      <calculatedColumnFormula>Table1[[#This Row],[TotalCost]]/Table1[[#This Row],[UnitsProduced]]</calculatedColumnFormula>
    </tableColumn>
    <tableColumn id="11" name="Gender"/>
    <tableColumn id="12" name="Age"/>
    <tableColumn id="13" name="Age Group">
      <calculatedColumnFormula>IF(L2&lt;=35,"A1",IF(L2&lt;=45,"A2","A3"))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tabSelected="1" topLeftCell="B1" zoomScaleNormal="100" workbookViewId="0">
      <selection activeCell="J9" sqref="J9"/>
    </sheetView>
  </sheetViews>
  <sheetFormatPr defaultRowHeight="14.5" x14ac:dyDescent="0.35"/>
  <cols>
    <col min="1" max="1" width="15.81640625" customWidth="1"/>
    <col min="2" max="2" width="18.90625" customWidth="1"/>
    <col min="3" max="3" width="12" customWidth="1"/>
    <col min="4" max="4" width="10.26953125" customWidth="1"/>
    <col min="5" max="5" width="14.1796875" customWidth="1"/>
    <col min="6" max="6" width="16.54296875" customWidth="1"/>
    <col min="7" max="7" width="16.26953125" customWidth="1"/>
    <col min="8" max="8" width="16.54296875" customWidth="1"/>
    <col min="9" max="10" width="16" customWidth="1"/>
    <col min="11" max="11" width="19" customWidth="1"/>
    <col min="13" max="13" width="11.1796875" customWidth="1"/>
  </cols>
  <sheetData>
    <row r="1" spans="1:13" x14ac:dyDescent="0.35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33</v>
      </c>
      <c r="K1" t="s">
        <v>23</v>
      </c>
      <c r="L1" t="s">
        <v>22</v>
      </c>
      <c r="M1" t="s">
        <v>21</v>
      </c>
    </row>
    <row r="2" spans="1:13" x14ac:dyDescent="0.35">
      <c r="A2">
        <v>48</v>
      </c>
      <c r="B2" s="1">
        <v>45191</v>
      </c>
      <c r="C2" s="1" t="str">
        <f t="shared" ref="C2:C33" si="0">TEXT(B2,"mmm")</f>
        <v>Sep</v>
      </c>
      <c r="D2" s="1" t="str">
        <f t="shared" ref="D2:D33" si="1">TEXT(B2,"YYYY")</f>
        <v>2023</v>
      </c>
      <c r="E2" t="s">
        <v>7</v>
      </c>
      <c r="F2" t="s">
        <v>16</v>
      </c>
      <c r="G2" t="s">
        <v>6</v>
      </c>
      <c r="H2">
        <v>214</v>
      </c>
      <c r="I2">
        <v>11954</v>
      </c>
      <c r="J2" s="2">
        <f>Table1[[#This Row],[TotalCost]]/Table1[[#This Row],[UnitsProduced]]</f>
        <v>55.859813084112147</v>
      </c>
      <c r="K2" t="s">
        <v>12</v>
      </c>
      <c r="L2">
        <v>26</v>
      </c>
      <c r="M2" t="str">
        <f t="shared" ref="M2:M33" si="2">IF(L2&lt;=35,"A1",IF(L2&lt;=45,"A2","A3"))</f>
        <v>A1</v>
      </c>
    </row>
    <row r="3" spans="1:13" x14ac:dyDescent="0.35">
      <c r="A3">
        <v>56</v>
      </c>
      <c r="B3" s="1">
        <v>45193</v>
      </c>
      <c r="C3" s="1" t="str">
        <f t="shared" si="0"/>
        <v>Sep</v>
      </c>
      <c r="D3" s="1" t="str">
        <f t="shared" si="1"/>
        <v>2023</v>
      </c>
      <c r="E3" t="s">
        <v>10</v>
      </c>
      <c r="F3" t="s">
        <v>2</v>
      </c>
      <c r="G3" t="s">
        <v>9</v>
      </c>
      <c r="H3">
        <v>344</v>
      </c>
      <c r="I3">
        <v>13872</v>
      </c>
      <c r="J3" s="2">
        <f>Table1[[#This Row],[TotalCost]]/Table1[[#This Row],[UnitsProduced]]</f>
        <v>40.325581395348834</v>
      </c>
      <c r="K3" t="s">
        <v>12</v>
      </c>
      <c r="L3">
        <v>42</v>
      </c>
      <c r="M3" t="str">
        <f t="shared" si="2"/>
        <v>A2</v>
      </c>
    </row>
    <row r="4" spans="1:13" x14ac:dyDescent="0.35">
      <c r="A4">
        <v>74</v>
      </c>
      <c r="B4" s="1">
        <v>45197</v>
      </c>
      <c r="C4" s="1" t="str">
        <f t="shared" si="0"/>
        <v>Sep</v>
      </c>
      <c r="D4" s="1" t="str">
        <f t="shared" si="1"/>
        <v>2023</v>
      </c>
      <c r="E4" t="s">
        <v>10</v>
      </c>
      <c r="F4" t="s">
        <v>18</v>
      </c>
      <c r="G4" t="s">
        <v>6</v>
      </c>
      <c r="H4">
        <v>213</v>
      </c>
      <c r="I4">
        <v>42028</v>
      </c>
      <c r="J4" s="2">
        <f>Table1[[#This Row],[TotalCost]]/Table1[[#This Row],[UnitsProduced]]</f>
        <v>197.31455399061034</v>
      </c>
      <c r="K4" t="s">
        <v>12</v>
      </c>
      <c r="L4">
        <v>52</v>
      </c>
      <c r="M4" t="str">
        <f t="shared" si="2"/>
        <v>A3</v>
      </c>
    </row>
    <row r="5" spans="1:13" x14ac:dyDescent="0.35">
      <c r="A5">
        <v>30</v>
      </c>
      <c r="B5" s="1">
        <v>45200</v>
      </c>
      <c r="C5" s="1" t="str">
        <f t="shared" si="0"/>
        <v>Oct</v>
      </c>
      <c r="D5" s="1" t="str">
        <f t="shared" si="1"/>
        <v>2023</v>
      </c>
      <c r="E5" t="s">
        <v>10</v>
      </c>
      <c r="F5" t="s">
        <v>11</v>
      </c>
      <c r="G5" t="s">
        <v>9</v>
      </c>
      <c r="H5">
        <v>290</v>
      </c>
      <c r="I5">
        <v>15132</v>
      </c>
      <c r="J5" s="2">
        <f>Table1[[#This Row],[TotalCost]]/Table1[[#This Row],[UnitsProduced]]</f>
        <v>52.179310344827584</v>
      </c>
      <c r="K5" t="s">
        <v>19</v>
      </c>
      <c r="L5">
        <v>25</v>
      </c>
      <c r="M5" t="str">
        <f t="shared" si="2"/>
        <v>A1</v>
      </c>
    </row>
    <row r="6" spans="1:13" x14ac:dyDescent="0.35">
      <c r="A6">
        <v>46</v>
      </c>
      <c r="B6" s="1">
        <v>45207</v>
      </c>
      <c r="C6" s="1" t="str">
        <f t="shared" si="0"/>
        <v>Oct</v>
      </c>
      <c r="D6" s="1" t="str">
        <f t="shared" si="1"/>
        <v>2023</v>
      </c>
      <c r="E6" t="s">
        <v>10</v>
      </c>
      <c r="F6" t="s">
        <v>13</v>
      </c>
      <c r="G6" t="s">
        <v>9</v>
      </c>
      <c r="H6">
        <v>231</v>
      </c>
      <c r="I6">
        <v>32045</v>
      </c>
      <c r="J6" s="2">
        <f>Table1[[#This Row],[TotalCost]]/Table1[[#This Row],[UnitsProduced]]</f>
        <v>138.72294372294371</v>
      </c>
      <c r="K6" t="s">
        <v>12</v>
      </c>
      <c r="L6">
        <v>28</v>
      </c>
      <c r="M6" t="str">
        <f t="shared" si="2"/>
        <v>A1</v>
      </c>
    </row>
    <row r="7" spans="1:13" x14ac:dyDescent="0.35">
      <c r="A7">
        <v>35</v>
      </c>
      <c r="B7" s="1">
        <v>45214</v>
      </c>
      <c r="C7" s="1" t="str">
        <f t="shared" si="0"/>
        <v>Oct</v>
      </c>
      <c r="D7" s="1" t="str">
        <f t="shared" si="1"/>
        <v>2023</v>
      </c>
      <c r="E7" t="s">
        <v>10</v>
      </c>
      <c r="F7" t="s">
        <v>18</v>
      </c>
      <c r="G7" t="s">
        <v>4</v>
      </c>
      <c r="H7">
        <v>260</v>
      </c>
      <c r="I7">
        <v>34680</v>
      </c>
      <c r="J7" s="2">
        <f>Table1[[#This Row],[TotalCost]]/Table1[[#This Row],[UnitsProduced]]</f>
        <v>133.38461538461539</v>
      </c>
      <c r="K7" t="s">
        <v>0</v>
      </c>
      <c r="L7">
        <v>52</v>
      </c>
      <c r="M7" t="str">
        <f t="shared" si="2"/>
        <v>A3</v>
      </c>
    </row>
    <row r="8" spans="1:13" x14ac:dyDescent="0.35">
      <c r="A8">
        <v>4</v>
      </c>
      <c r="B8" s="1">
        <v>45214</v>
      </c>
      <c r="C8" s="1" t="str">
        <f t="shared" si="0"/>
        <v>Oct</v>
      </c>
      <c r="D8" s="1" t="str">
        <f t="shared" si="1"/>
        <v>2023</v>
      </c>
      <c r="E8" t="s">
        <v>10</v>
      </c>
      <c r="F8" t="s">
        <v>20</v>
      </c>
      <c r="G8" t="s">
        <v>4</v>
      </c>
      <c r="H8">
        <v>459</v>
      </c>
      <c r="I8">
        <v>17069</v>
      </c>
      <c r="J8" s="2">
        <f>Table1[[#This Row],[TotalCost]]/Table1[[#This Row],[UnitsProduced]]</f>
        <v>37.187363834422655</v>
      </c>
      <c r="K8" t="s">
        <v>19</v>
      </c>
      <c r="L8">
        <v>57</v>
      </c>
      <c r="M8" t="str">
        <f t="shared" si="2"/>
        <v>A3</v>
      </c>
    </row>
    <row r="9" spans="1:13" x14ac:dyDescent="0.35">
      <c r="A9">
        <v>101</v>
      </c>
      <c r="B9" s="1">
        <v>45215</v>
      </c>
      <c r="C9" s="1" t="str">
        <f t="shared" si="0"/>
        <v>Oct</v>
      </c>
      <c r="D9" s="1" t="str">
        <f t="shared" si="1"/>
        <v>2023</v>
      </c>
      <c r="E9" t="s">
        <v>3</v>
      </c>
      <c r="F9" t="s">
        <v>14</v>
      </c>
      <c r="G9" t="s">
        <v>1</v>
      </c>
      <c r="H9">
        <v>384</v>
      </c>
      <c r="I9">
        <v>40565</v>
      </c>
      <c r="J9" s="2">
        <f>Table1[[#This Row],[TotalCost]]/Table1[[#This Row],[UnitsProduced]]</f>
        <v>105.63802083333333</v>
      </c>
      <c r="K9" t="s">
        <v>12</v>
      </c>
      <c r="L9">
        <v>25</v>
      </c>
      <c r="M9" t="str">
        <f t="shared" si="2"/>
        <v>A1</v>
      </c>
    </row>
    <row r="10" spans="1:13" x14ac:dyDescent="0.35">
      <c r="A10">
        <v>17</v>
      </c>
      <c r="B10" s="1">
        <v>45215</v>
      </c>
      <c r="C10" s="1" t="str">
        <f t="shared" si="0"/>
        <v>Oct</v>
      </c>
      <c r="D10" s="1" t="str">
        <f t="shared" si="1"/>
        <v>2023</v>
      </c>
      <c r="E10" t="s">
        <v>10</v>
      </c>
      <c r="F10" t="s">
        <v>2</v>
      </c>
      <c r="G10" t="s">
        <v>4</v>
      </c>
      <c r="H10">
        <v>240</v>
      </c>
      <c r="I10">
        <v>65052</v>
      </c>
      <c r="J10" s="2">
        <f>Table1[[#This Row],[TotalCost]]/Table1[[#This Row],[UnitsProduced]]</f>
        <v>271.05</v>
      </c>
      <c r="K10" t="s">
        <v>12</v>
      </c>
      <c r="L10">
        <v>42</v>
      </c>
      <c r="M10" t="str">
        <f t="shared" si="2"/>
        <v>A2</v>
      </c>
    </row>
    <row r="11" spans="1:13" x14ac:dyDescent="0.35">
      <c r="A11">
        <v>53</v>
      </c>
      <c r="B11" s="1">
        <v>45216</v>
      </c>
      <c r="C11" s="1" t="str">
        <f t="shared" si="0"/>
        <v>Oct</v>
      </c>
      <c r="D11" s="1" t="str">
        <f t="shared" si="1"/>
        <v>2023</v>
      </c>
      <c r="E11" t="s">
        <v>5</v>
      </c>
      <c r="F11" t="s">
        <v>2</v>
      </c>
      <c r="G11" t="s">
        <v>4</v>
      </c>
      <c r="H11">
        <v>63</v>
      </c>
      <c r="I11">
        <v>3960</v>
      </c>
      <c r="J11" s="2">
        <f>Table1[[#This Row],[TotalCost]]/Table1[[#This Row],[UnitsProduced]]</f>
        <v>62.857142857142854</v>
      </c>
      <c r="K11" t="s">
        <v>0</v>
      </c>
      <c r="L11">
        <v>42</v>
      </c>
      <c r="M11" t="str">
        <f t="shared" si="2"/>
        <v>A2</v>
      </c>
    </row>
    <row r="12" spans="1:13" x14ac:dyDescent="0.35">
      <c r="A12">
        <v>76</v>
      </c>
      <c r="B12" s="1">
        <v>45217</v>
      </c>
      <c r="C12" s="1" t="str">
        <f t="shared" si="0"/>
        <v>Oct</v>
      </c>
      <c r="D12" s="1" t="str">
        <f t="shared" si="1"/>
        <v>2023</v>
      </c>
      <c r="E12" t="s">
        <v>7</v>
      </c>
      <c r="F12" t="s">
        <v>14</v>
      </c>
      <c r="G12" t="s">
        <v>6</v>
      </c>
      <c r="H12">
        <v>208</v>
      </c>
      <c r="I12">
        <v>25758</v>
      </c>
      <c r="J12" s="2">
        <f>Table1[[#This Row],[TotalCost]]/Table1[[#This Row],[UnitsProduced]]</f>
        <v>123.83653846153847</v>
      </c>
      <c r="K12" t="s">
        <v>19</v>
      </c>
      <c r="L12">
        <v>25</v>
      </c>
      <c r="M12" t="str">
        <f t="shared" si="2"/>
        <v>A1</v>
      </c>
    </row>
    <row r="13" spans="1:13" x14ac:dyDescent="0.35">
      <c r="A13">
        <v>9</v>
      </c>
      <c r="B13" s="1">
        <v>45217</v>
      </c>
      <c r="C13" s="1" t="str">
        <f t="shared" si="0"/>
        <v>Oct</v>
      </c>
      <c r="D13" s="1" t="str">
        <f t="shared" si="1"/>
        <v>2023</v>
      </c>
      <c r="E13" t="s">
        <v>10</v>
      </c>
      <c r="F13" t="s">
        <v>2</v>
      </c>
      <c r="G13" t="s">
        <v>6</v>
      </c>
      <c r="H13">
        <v>55</v>
      </c>
      <c r="I13">
        <v>25893</v>
      </c>
      <c r="J13" s="2">
        <f>Table1[[#This Row],[TotalCost]]/Table1[[#This Row],[UnitsProduced]]</f>
        <v>470.78181818181821</v>
      </c>
      <c r="K13" t="s">
        <v>0</v>
      </c>
      <c r="L13">
        <v>42</v>
      </c>
      <c r="M13" t="str">
        <f t="shared" si="2"/>
        <v>A2</v>
      </c>
    </row>
    <row r="14" spans="1:13" x14ac:dyDescent="0.35">
      <c r="A14">
        <v>40</v>
      </c>
      <c r="B14" s="1">
        <v>45221</v>
      </c>
      <c r="C14" s="1" t="str">
        <f t="shared" si="0"/>
        <v>Oct</v>
      </c>
      <c r="D14" s="1" t="str">
        <f t="shared" si="1"/>
        <v>2023</v>
      </c>
      <c r="E14" t="s">
        <v>5</v>
      </c>
      <c r="F14" t="s">
        <v>18</v>
      </c>
      <c r="G14" t="s">
        <v>9</v>
      </c>
      <c r="H14">
        <v>165</v>
      </c>
      <c r="I14">
        <v>679</v>
      </c>
      <c r="J14" s="2">
        <f>Table1[[#This Row],[TotalCost]]/Table1[[#This Row],[UnitsProduced]]</f>
        <v>4.1151515151515152</v>
      </c>
      <c r="K14" t="s">
        <v>0</v>
      </c>
      <c r="L14">
        <v>52</v>
      </c>
      <c r="M14" t="str">
        <f t="shared" si="2"/>
        <v>A3</v>
      </c>
    </row>
    <row r="15" spans="1:13" x14ac:dyDescent="0.35">
      <c r="A15">
        <v>47</v>
      </c>
      <c r="B15" s="1">
        <v>45228</v>
      </c>
      <c r="C15" s="1" t="str">
        <f t="shared" si="0"/>
        <v>Oct</v>
      </c>
      <c r="D15" s="1" t="str">
        <f t="shared" si="1"/>
        <v>2023</v>
      </c>
      <c r="E15" t="s">
        <v>5</v>
      </c>
      <c r="F15" t="s">
        <v>20</v>
      </c>
      <c r="G15" t="s">
        <v>9</v>
      </c>
      <c r="H15">
        <v>288</v>
      </c>
      <c r="I15">
        <v>33284</v>
      </c>
      <c r="J15" s="2">
        <f>Table1[[#This Row],[TotalCost]]/Table1[[#This Row],[UnitsProduced]]</f>
        <v>115.56944444444444</v>
      </c>
      <c r="K15" t="s">
        <v>12</v>
      </c>
      <c r="L15">
        <v>57</v>
      </c>
      <c r="M15" t="str">
        <f t="shared" si="2"/>
        <v>A3</v>
      </c>
    </row>
    <row r="16" spans="1:13" x14ac:dyDescent="0.35">
      <c r="A16">
        <v>36</v>
      </c>
      <c r="B16" s="1">
        <v>45230</v>
      </c>
      <c r="C16" s="1" t="str">
        <f t="shared" si="0"/>
        <v>Oct</v>
      </c>
      <c r="D16" s="1" t="str">
        <f t="shared" si="1"/>
        <v>2023</v>
      </c>
      <c r="E16" t="s">
        <v>10</v>
      </c>
      <c r="F16" t="s">
        <v>16</v>
      </c>
      <c r="G16" t="s">
        <v>4</v>
      </c>
      <c r="H16">
        <v>460</v>
      </c>
      <c r="I16">
        <v>50274</v>
      </c>
      <c r="J16" s="2">
        <f>Table1[[#This Row],[TotalCost]]/Table1[[#This Row],[UnitsProduced]]</f>
        <v>109.29130434782608</v>
      </c>
      <c r="K16" t="s">
        <v>0</v>
      </c>
      <c r="L16">
        <v>26</v>
      </c>
      <c r="M16" t="str">
        <f t="shared" si="2"/>
        <v>A1</v>
      </c>
    </row>
    <row r="17" spans="1:13" x14ac:dyDescent="0.35">
      <c r="A17">
        <v>115</v>
      </c>
      <c r="B17" s="1">
        <v>45232</v>
      </c>
      <c r="C17" s="1" t="str">
        <f t="shared" si="0"/>
        <v>Nov</v>
      </c>
      <c r="D17" s="1" t="str">
        <f t="shared" si="1"/>
        <v>2023</v>
      </c>
      <c r="E17" t="s">
        <v>10</v>
      </c>
      <c r="F17" t="s">
        <v>16</v>
      </c>
      <c r="G17" t="s">
        <v>9</v>
      </c>
      <c r="H17">
        <v>541</v>
      </c>
      <c r="I17">
        <v>42432</v>
      </c>
      <c r="J17" s="2">
        <f>Table1[[#This Row],[TotalCost]]/Table1[[#This Row],[UnitsProduced]]</f>
        <v>78.432532347504619</v>
      </c>
      <c r="K17" t="s">
        <v>12</v>
      </c>
      <c r="L17">
        <v>26</v>
      </c>
      <c r="M17" t="str">
        <f t="shared" si="2"/>
        <v>A1</v>
      </c>
    </row>
    <row r="18" spans="1:13" x14ac:dyDescent="0.35">
      <c r="A18">
        <v>70</v>
      </c>
      <c r="B18" s="1">
        <v>45232</v>
      </c>
      <c r="C18" s="1" t="str">
        <f t="shared" si="0"/>
        <v>Nov</v>
      </c>
      <c r="D18" s="1" t="str">
        <f t="shared" si="1"/>
        <v>2023</v>
      </c>
      <c r="E18" t="s">
        <v>7</v>
      </c>
      <c r="F18" t="s">
        <v>2</v>
      </c>
      <c r="G18" t="s">
        <v>1</v>
      </c>
      <c r="H18">
        <v>335</v>
      </c>
      <c r="I18">
        <v>36984</v>
      </c>
      <c r="J18" s="2">
        <f>Table1[[#This Row],[TotalCost]]/Table1[[#This Row],[UnitsProduced]]</f>
        <v>110.4</v>
      </c>
      <c r="K18" t="s">
        <v>12</v>
      </c>
      <c r="L18">
        <v>42</v>
      </c>
      <c r="M18" t="str">
        <f t="shared" si="2"/>
        <v>A2</v>
      </c>
    </row>
    <row r="19" spans="1:13" x14ac:dyDescent="0.35">
      <c r="A19">
        <v>114</v>
      </c>
      <c r="B19" s="1">
        <v>45233</v>
      </c>
      <c r="C19" s="1" t="str">
        <f t="shared" si="0"/>
        <v>Nov</v>
      </c>
      <c r="D19" s="1" t="str">
        <f t="shared" si="1"/>
        <v>2023</v>
      </c>
      <c r="E19" t="s">
        <v>7</v>
      </c>
      <c r="F19" t="s">
        <v>20</v>
      </c>
      <c r="G19" t="s">
        <v>9</v>
      </c>
      <c r="H19">
        <v>126</v>
      </c>
      <c r="I19">
        <v>40446</v>
      </c>
      <c r="J19" s="2">
        <f>Table1[[#This Row],[TotalCost]]/Table1[[#This Row],[UnitsProduced]]</f>
        <v>321</v>
      </c>
      <c r="K19" t="s">
        <v>19</v>
      </c>
      <c r="L19">
        <v>57</v>
      </c>
      <c r="M19" t="str">
        <f t="shared" si="2"/>
        <v>A3</v>
      </c>
    </row>
    <row r="20" spans="1:13" x14ac:dyDescent="0.35">
      <c r="A20">
        <v>50</v>
      </c>
      <c r="B20" s="1">
        <v>45234</v>
      </c>
      <c r="C20" s="1" t="str">
        <f t="shared" si="0"/>
        <v>Nov</v>
      </c>
      <c r="D20" s="1" t="str">
        <f t="shared" si="1"/>
        <v>2023</v>
      </c>
      <c r="E20" t="s">
        <v>7</v>
      </c>
      <c r="F20" t="s">
        <v>14</v>
      </c>
      <c r="G20" t="s">
        <v>1</v>
      </c>
      <c r="H20">
        <v>177</v>
      </c>
      <c r="I20">
        <v>30600</v>
      </c>
      <c r="J20" s="2">
        <f>Table1[[#This Row],[TotalCost]]/Table1[[#This Row],[UnitsProduced]]</f>
        <v>172.88135593220338</v>
      </c>
      <c r="K20" t="s">
        <v>0</v>
      </c>
      <c r="L20">
        <v>25</v>
      </c>
      <c r="M20" t="str">
        <f t="shared" si="2"/>
        <v>A1</v>
      </c>
    </row>
    <row r="21" spans="1:13" x14ac:dyDescent="0.35">
      <c r="A21">
        <v>25</v>
      </c>
      <c r="B21" s="1">
        <v>45235</v>
      </c>
      <c r="C21" s="1" t="str">
        <f t="shared" si="0"/>
        <v>Nov</v>
      </c>
      <c r="D21" s="1" t="str">
        <f t="shared" si="1"/>
        <v>2023</v>
      </c>
      <c r="E21" t="s">
        <v>10</v>
      </c>
      <c r="F21" t="s">
        <v>16</v>
      </c>
      <c r="G21" t="s">
        <v>9</v>
      </c>
      <c r="H21">
        <v>439</v>
      </c>
      <c r="I21">
        <v>31392</v>
      </c>
      <c r="J21" s="2">
        <f>Table1[[#This Row],[TotalCost]]/Table1[[#This Row],[UnitsProduced]]</f>
        <v>71.50797266514806</v>
      </c>
      <c r="K21" t="s">
        <v>0</v>
      </c>
      <c r="L21">
        <v>26</v>
      </c>
      <c r="M21" t="str">
        <f t="shared" si="2"/>
        <v>A1</v>
      </c>
    </row>
    <row r="22" spans="1:13" x14ac:dyDescent="0.35">
      <c r="A22">
        <v>116</v>
      </c>
      <c r="B22" s="1">
        <v>45240</v>
      </c>
      <c r="C22" s="1" t="str">
        <f t="shared" si="0"/>
        <v>Nov</v>
      </c>
      <c r="D22" s="1" t="str">
        <f t="shared" si="1"/>
        <v>2023</v>
      </c>
      <c r="E22" t="s">
        <v>7</v>
      </c>
      <c r="F22" t="s">
        <v>13</v>
      </c>
      <c r="G22" t="s">
        <v>1</v>
      </c>
      <c r="H22">
        <v>666</v>
      </c>
      <c r="I22">
        <v>64635</v>
      </c>
      <c r="J22" s="2">
        <f>Table1[[#This Row],[TotalCost]]/Table1[[#This Row],[UnitsProduced]]</f>
        <v>97.049549549549553</v>
      </c>
      <c r="K22" t="s">
        <v>0</v>
      </c>
      <c r="L22">
        <v>28</v>
      </c>
      <c r="M22" t="str">
        <f t="shared" si="2"/>
        <v>A1</v>
      </c>
    </row>
    <row r="23" spans="1:13" x14ac:dyDescent="0.35">
      <c r="A23">
        <v>104</v>
      </c>
      <c r="B23" s="1">
        <v>45243</v>
      </c>
      <c r="C23" s="1" t="str">
        <f t="shared" si="0"/>
        <v>Nov</v>
      </c>
      <c r="D23" s="1" t="str">
        <f t="shared" si="1"/>
        <v>2023</v>
      </c>
      <c r="E23" t="s">
        <v>10</v>
      </c>
      <c r="F23" t="s">
        <v>2</v>
      </c>
      <c r="G23" t="s">
        <v>4</v>
      </c>
      <c r="H23">
        <v>359</v>
      </c>
      <c r="I23">
        <v>12753</v>
      </c>
      <c r="J23" s="2">
        <f>Table1[[#This Row],[TotalCost]]/Table1[[#This Row],[UnitsProduced]]</f>
        <v>35.523676880222844</v>
      </c>
      <c r="K23" t="s">
        <v>0</v>
      </c>
      <c r="L23">
        <v>42</v>
      </c>
      <c r="M23" t="str">
        <f t="shared" si="2"/>
        <v>A2</v>
      </c>
    </row>
    <row r="24" spans="1:13" x14ac:dyDescent="0.35">
      <c r="A24">
        <v>67</v>
      </c>
      <c r="B24" s="1">
        <v>45249</v>
      </c>
      <c r="C24" s="1" t="str">
        <f t="shared" si="0"/>
        <v>Nov</v>
      </c>
      <c r="D24" s="1" t="str">
        <f t="shared" si="1"/>
        <v>2023</v>
      </c>
      <c r="E24" t="s">
        <v>10</v>
      </c>
      <c r="F24" t="s">
        <v>16</v>
      </c>
      <c r="G24" t="s">
        <v>9</v>
      </c>
      <c r="H24">
        <v>511</v>
      </c>
      <c r="I24">
        <v>16698</v>
      </c>
      <c r="J24" s="2">
        <f>Table1[[#This Row],[TotalCost]]/Table1[[#This Row],[UnitsProduced]]</f>
        <v>32.677103718199611</v>
      </c>
      <c r="K24" t="s">
        <v>19</v>
      </c>
      <c r="L24">
        <v>26</v>
      </c>
      <c r="M24" t="str">
        <f t="shared" si="2"/>
        <v>A1</v>
      </c>
    </row>
    <row r="25" spans="1:13" x14ac:dyDescent="0.35">
      <c r="A25">
        <v>34</v>
      </c>
      <c r="B25" s="1">
        <v>45251</v>
      </c>
      <c r="C25" s="1" t="str">
        <f t="shared" si="0"/>
        <v>Nov</v>
      </c>
      <c r="D25" s="1" t="str">
        <f t="shared" si="1"/>
        <v>2023</v>
      </c>
      <c r="E25" t="s">
        <v>10</v>
      </c>
      <c r="F25" t="s">
        <v>15</v>
      </c>
      <c r="G25" t="s">
        <v>4</v>
      </c>
      <c r="H25">
        <v>333</v>
      </c>
      <c r="I25">
        <v>48000</v>
      </c>
      <c r="J25" s="2">
        <f>Table1[[#This Row],[TotalCost]]/Table1[[#This Row],[UnitsProduced]]</f>
        <v>144.14414414414415</v>
      </c>
      <c r="K25" t="s">
        <v>12</v>
      </c>
      <c r="L25">
        <v>28</v>
      </c>
      <c r="M25" t="str">
        <f t="shared" si="2"/>
        <v>A1</v>
      </c>
    </row>
    <row r="26" spans="1:13" x14ac:dyDescent="0.35">
      <c r="A26">
        <v>43</v>
      </c>
      <c r="B26" s="1">
        <v>45252</v>
      </c>
      <c r="C26" s="1" t="str">
        <f t="shared" si="0"/>
        <v>Nov</v>
      </c>
      <c r="D26" s="1" t="str">
        <f t="shared" si="1"/>
        <v>2023</v>
      </c>
      <c r="E26" t="s">
        <v>7</v>
      </c>
      <c r="F26" t="s">
        <v>2</v>
      </c>
      <c r="G26" t="s">
        <v>9</v>
      </c>
      <c r="H26">
        <v>354</v>
      </c>
      <c r="I26">
        <v>679</v>
      </c>
      <c r="J26" s="2">
        <f>Table1[[#This Row],[TotalCost]]/Table1[[#This Row],[UnitsProduced]]</f>
        <v>1.9180790960451977</v>
      </c>
      <c r="K26" t="s">
        <v>0</v>
      </c>
      <c r="L26">
        <v>42</v>
      </c>
      <c r="M26" t="str">
        <f t="shared" si="2"/>
        <v>A2</v>
      </c>
    </row>
    <row r="27" spans="1:13" x14ac:dyDescent="0.35">
      <c r="A27">
        <v>83</v>
      </c>
      <c r="B27" s="1">
        <v>45254</v>
      </c>
      <c r="C27" s="1" t="str">
        <f t="shared" si="0"/>
        <v>Nov</v>
      </c>
      <c r="D27" s="1" t="str">
        <f t="shared" si="1"/>
        <v>2023</v>
      </c>
      <c r="E27" t="s">
        <v>10</v>
      </c>
      <c r="F27" t="s">
        <v>16</v>
      </c>
      <c r="G27" t="s">
        <v>4</v>
      </c>
      <c r="H27">
        <v>545</v>
      </c>
      <c r="I27">
        <v>65250</v>
      </c>
      <c r="J27" s="2">
        <f>Table1[[#This Row],[TotalCost]]/Table1[[#This Row],[UnitsProduced]]</f>
        <v>119.72477064220183</v>
      </c>
      <c r="K27" t="s">
        <v>12</v>
      </c>
      <c r="L27">
        <v>26</v>
      </c>
      <c r="M27" t="str">
        <f t="shared" si="2"/>
        <v>A1</v>
      </c>
    </row>
    <row r="28" spans="1:13" x14ac:dyDescent="0.35">
      <c r="A28">
        <v>20</v>
      </c>
      <c r="B28" s="1">
        <v>45254</v>
      </c>
      <c r="C28" s="1" t="str">
        <f t="shared" si="0"/>
        <v>Nov</v>
      </c>
      <c r="D28" s="1" t="str">
        <f t="shared" si="1"/>
        <v>2023</v>
      </c>
      <c r="E28" t="s">
        <v>10</v>
      </c>
      <c r="F28" t="s">
        <v>2</v>
      </c>
      <c r="G28" t="s">
        <v>6</v>
      </c>
      <c r="H28">
        <v>331</v>
      </c>
      <c r="I28">
        <v>27140</v>
      </c>
      <c r="J28" s="2">
        <f>Table1[[#This Row],[TotalCost]]/Table1[[#This Row],[UnitsProduced]]</f>
        <v>81.993957703927492</v>
      </c>
      <c r="K28" t="s">
        <v>0</v>
      </c>
      <c r="L28">
        <v>42</v>
      </c>
      <c r="M28" t="str">
        <f t="shared" si="2"/>
        <v>A2</v>
      </c>
    </row>
    <row r="29" spans="1:13" x14ac:dyDescent="0.35">
      <c r="A29">
        <v>109</v>
      </c>
      <c r="B29" s="1">
        <v>45256</v>
      </c>
      <c r="C29" s="1" t="str">
        <f t="shared" si="0"/>
        <v>Nov</v>
      </c>
      <c r="D29" s="1" t="str">
        <f t="shared" si="1"/>
        <v>2023</v>
      </c>
      <c r="E29" t="s">
        <v>5</v>
      </c>
      <c r="F29" t="s">
        <v>15</v>
      </c>
      <c r="G29" t="s">
        <v>9</v>
      </c>
      <c r="H29">
        <v>86</v>
      </c>
      <c r="I29">
        <v>25853</v>
      </c>
      <c r="J29" s="2">
        <f>Table1[[#This Row],[TotalCost]]/Table1[[#This Row],[UnitsProduced]]</f>
        <v>300.61627906976742</v>
      </c>
      <c r="K29" t="s">
        <v>12</v>
      </c>
      <c r="L29">
        <v>28</v>
      </c>
      <c r="M29" t="str">
        <f t="shared" si="2"/>
        <v>A1</v>
      </c>
    </row>
    <row r="30" spans="1:13" x14ac:dyDescent="0.35">
      <c r="A30">
        <v>108</v>
      </c>
      <c r="B30" s="1">
        <v>45264</v>
      </c>
      <c r="C30" s="1" t="str">
        <f t="shared" si="0"/>
        <v>Dec</v>
      </c>
      <c r="D30" s="1" t="str">
        <f t="shared" si="1"/>
        <v>2023</v>
      </c>
      <c r="E30" t="s">
        <v>10</v>
      </c>
      <c r="F30" t="s">
        <v>2</v>
      </c>
      <c r="G30" t="s">
        <v>9</v>
      </c>
      <c r="H30">
        <v>214</v>
      </c>
      <c r="I30">
        <v>31122</v>
      </c>
      <c r="J30" s="2">
        <f>Table1[[#This Row],[TotalCost]]/Table1[[#This Row],[UnitsProduced]]</f>
        <v>145.42990654205607</v>
      </c>
      <c r="K30" t="s">
        <v>0</v>
      </c>
      <c r="L30">
        <v>42</v>
      </c>
      <c r="M30" t="str">
        <f t="shared" si="2"/>
        <v>A2</v>
      </c>
    </row>
    <row r="31" spans="1:13" x14ac:dyDescent="0.35">
      <c r="A31">
        <v>118</v>
      </c>
      <c r="B31" s="1">
        <v>45273</v>
      </c>
      <c r="C31" s="1" t="str">
        <f t="shared" si="0"/>
        <v>Dec</v>
      </c>
      <c r="D31" s="1" t="str">
        <f t="shared" si="1"/>
        <v>2023</v>
      </c>
      <c r="E31" t="s">
        <v>10</v>
      </c>
      <c r="F31" t="s">
        <v>2</v>
      </c>
      <c r="G31" t="s">
        <v>9</v>
      </c>
      <c r="H31">
        <v>289</v>
      </c>
      <c r="I31">
        <v>24948</v>
      </c>
      <c r="J31" s="2">
        <f>Table1[[#This Row],[TotalCost]]/Table1[[#This Row],[UnitsProduced]]</f>
        <v>86.325259515570934</v>
      </c>
      <c r="K31" t="s">
        <v>0</v>
      </c>
      <c r="L31">
        <v>42</v>
      </c>
      <c r="M31" t="str">
        <f t="shared" si="2"/>
        <v>A2</v>
      </c>
    </row>
    <row r="32" spans="1:13" x14ac:dyDescent="0.35">
      <c r="A32">
        <v>103</v>
      </c>
      <c r="B32" s="1">
        <v>45274</v>
      </c>
      <c r="C32" s="1" t="str">
        <f t="shared" si="0"/>
        <v>Dec</v>
      </c>
      <c r="D32" s="1" t="str">
        <f t="shared" si="1"/>
        <v>2023</v>
      </c>
      <c r="E32" t="s">
        <v>5</v>
      </c>
      <c r="F32" t="s">
        <v>20</v>
      </c>
      <c r="G32" t="s">
        <v>9</v>
      </c>
      <c r="H32">
        <v>97</v>
      </c>
      <c r="I32">
        <v>679</v>
      </c>
      <c r="J32" s="2">
        <f>Table1[[#This Row],[TotalCost]]/Table1[[#This Row],[UnitsProduced]]</f>
        <v>7</v>
      </c>
      <c r="K32" t="s">
        <v>12</v>
      </c>
      <c r="L32">
        <v>57</v>
      </c>
      <c r="M32" t="str">
        <f t="shared" si="2"/>
        <v>A3</v>
      </c>
    </row>
    <row r="33" spans="1:13" x14ac:dyDescent="0.35">
      <c r="A33">
        <v>93</v>
      </c>
      <c r="B33" s="1">
        <v>45277</v>
      </c>
      <c r="C33" s="1" t="str">
        <f t="shared" si="0"/>
        <v>Dec</v>
      </c>
      <c r="D33" s="1" t="str">
        <f t="shared" si="1"/>
        <v>2023</v>
      </c>
      <c r="E33" t="s">
        <v>3</v>
      </c>
      <c r="F33" t="s">
        <v>15</v>
      </c>
      <c r="G33" t="s">
        <v>9</v>
      </c>
      <c r="H33">
        <v>366</v>
      </c>
      <c r="I33">
        <v>4131</v>
      </c>
      <c r="J33" s="2">
        <f>Table1[[#This Row],[TotalCost]]/Table1[[#This Row],[UnitsProduced]]</f>
        <v>11.28688524590164</v>
      </c>
      <c r="K33" t="s">
        <v>0</v>
      </c>
      <c r="L33">
        <v>28</v>
      </c>
      <c r="M33" t="str">
        <f t="shared" si="2"/>
        <v>A1</v>
      </c>
    </row>
    <row r="34" spans="1:13" x14ac:dyDescent="0.35">
      <c r="A34">
        <v>98</v>
      </c>
      <c r="B34" s="1">
        <v>45282</v>
      </c>
      <c r="C34" s="1" t="str">
        <f t="shared" ref="C34:C65" si="3">TEXT(B34,"mmm")</f>
        <v>Dec</v>
      </c>
      <c r="D34" s="1" t="str">
        <f t="shared" ref="D34:D65" si="4">TEXT(B34,"YYYY")</f>
        <v>2023</v>
      </c>
      <c r="E34" t="s">
        <v>10</v>
      </c>
      <c r="F34" t="s">
        <v>20</v>
      </c>
      <c r="G34" t="s">
        <v>4</v>
      </c>
      <c r="H34">
        <v>222</v>
      </c>
      <c r="I34">
        <v>17500</v>
      </c>
      <c r="J34" s="2">
        <f>Table1[[#This Row],[TotalCost]]/Table1[[#This Row],[UnitsProduced]]</f>
        <v>78.828828828828833</v>
      </c>
      <c r="K34" t="s">
        <v>0</v>
      </c>
      <c r="L34">
        <v>57</v>
      </c>
      <c r="M34" t="str">
        <f t="shared" ref="M34:M65" si="5">IF(L34&lt;=35,"A1",IF(L34&lt;=45,"A2","A3"))</f>
        <v>A3</v>
      </c>
    </row>
    <row r="35" spans="1:13" x14ac:dyDescent="0.35">
      <c r="A35">
        <v>61</v>
      </c>
      <c r="B35" s="1">
        <v>45286</v>
      </c>
      <c r="C35" s="1" t="str">
        <f t="shared" si="3"/>
        <v>Dec</v>
      </c>
      <c r="D35" s="1" t="str">
        <f t="shared" si="4"/>
        <v>2023</v>
      </c>
      <c r="E35" t="s">
        <v>10</v>
      </c>
      <c r="F35" t="s">
        <v>18</v>
      </c>
      <c r="G35" t="s">
        <v>9</v>
      </c>
      <c r="H35">
        <v>151</v>
      </c>
      <c r="I35">
        <v>8475</v>
      </c>
      <c r="J35" s="2">
        <f>Table1[[#This Row],[TotalCost]]/Table1[[#This Row],[UnitsProduced]]</f>
        <v>56.12582781456954</v>
      </c>
      <c r="K35" t="s">
        <v>12</v>
      </c>
      <c r="L35">
        <v>52</v>
      </c>
      <c r="M35" t="str">
        <f t="shared" si="5"/>
        <v>A3</v>
      </c>
    </row>
    <row r="36" spans="1:13" x14ac:dyDescent="0.35">
      <c r="A36">
        <v>100</v>
      </c>
      <c r="B36" s="1">
        <v>45286</v>
      </c>
      <c r="C36" s="1" t="str">
        <f t="shared" si="3"/>
        <v>Dec</v>
      </c>
      <c r="D36" s="1" t="str">
        <f t="shared" si="4"/>
        <v>2023</v>
      </c>
      <c r="E36" t="s">
        <v>10</v>
      </c>
      <c r="F36" t="s">
        <v>18</v>
      </c>
      <c r="G36" t="s">
        <v>6</v>
      </c>
      <c r="H36">
        <v>307</v>
      </c>
      <c r="I36">
        <v>679</v>
      </c>
      <c r="J36" s="2">
        <f>Table1[[#This Row],[TotalCost]]/Table1[[#This Row],[UnitsProduced]]</f>
        <v>2.2117263843648209</v>
      </c>
      <c r="K36" t="s">
        <v>12</v>
      </c>
      <c r="L36">
        <v>52</v>
      </c>
      <c r="M36" t="str">
        <f t="shared" si="5"/>
        <v>A3</v>
      </c>
    </row>
    <row r="37" spans="1:13" x14ac:dyDescent="0.35">
      <c r="A37">
        <v>28</v>
      </c>
      <c r="B37" s="1">
        <v>45286</v>
      </c>
      <c r="C37" s="1" t="str">
        <f t="shared" si="3"/>
        <v>Dec</v>
      </c>
      <c r="D37" s="1" t="str">
        <f t="shared" si="4"/>
        <v>2023</v>
      </c>
      <c r="E37" t="s">
        <v>10</v>
      </c>
      <c r="F37" t="s">
        <v>20</v>
      </c>
      <c r="G37" t="s">
        <v>9</v>
      </c>
      <c r="H37">
        <v>444</v>
      </c>
      <c r="I37">
        <v>7272</v>
      </c>
      <c r="J37" s="2">
        <f>Table1[[#This Row],[TotalCost]]/Table1[[#This Row],[UnitsProduced]]</f>
        <v>16.378378378378379</v>
      </c>
      <c r="K37" t="s">
        <v>0</v>
      </c>
      <c r="L37">
        <v>57</v>
      </c>
      <c r="M37" t="str">
        <f t="shared" si="5"/>
        <v>A3</v>
      </c>
    </row>
    <row r="38" spans="1:13" x14ac:dyDescent="0.35">
      <c r="A38">
        <v>90</v>
      </c>
      <c r="B38" s="1">
        <v>45289</v>
      </c>
      <c r="C38" s="1" t="str">
        <f t="shared" si="3"/>
        <v>Dec</v>
      </c>
      <c r="D38" s="1" t="str">
        <f t="shared" si="4"/>
        <v>2023</v>
      </c>
      <c r="E38" t="s">
        <v>10</v>
      </c>
      <c r="F38" t="s">
        <v>16</v>
      </c>
      <c r="G38" t="s">
        <v>1</v>
      </c>
      <c r="H38">
        <v>404</v>
      </c>
      <c r="I38">
        <v>13310</v>
      </c>
      <c r="J38" s="2">
        <f>Table1[[#This Row],[TotalCost]]/Table1[[#This Row],[UnitsProduced]]</f>
        <v>32.945544554455445</v>
      </c>
      <c r="K38" t="s">
        <v>12</v>
      </c>
      <c r="L38">
        <v>26</v>
      </c>
      <c r="M38" t="str">
        <f t="shared" si="5"/>
        <v>A1</v>
      </c>
    </row>
    <row r="39" spans="1:13" x14ac:dyDescent="0.35">
      <c r="A39">
        <v>58</v>
      </c>
      <c r="B39" s="1">
        <v>45292</v>
      </c>
      <c r="C39" s="1" t="str">
        <f t="shared" si="3"/>
        <v>Jan</v>
      </c>
      <c r="D39" s="1" t="str">
        <f t="shared" si="4"/>
        <v>2024</v>
      </c>
      <c r="E39" t="s">
        <v>3</v>
      </c>
      <c r="F39" t="s">
        <v>2</v>
      </c>
      <c r="G39" t="s">
        <v>9</v>
      </c>
      <c r="H39">
        <v>160</v>
      </c>
      <c r="I39">
        <v>59248</v>
      </c>
      <c r="J39" s="2">
        <f>Table1[[#This Row],[TotalCost]]/Table1[[#This Row],[UnitsProduced]]</f>
        <v>370.3</v>
      </c>
      <c r="K39" t="s">
        <v>12</v>
      </c>
      <c r="L39">
        <v>42</v>
      </c>
      <c r="M39" t="str">
        <f t="shared" si="5"/>
        <v>A2</v>
      </c>
    </row>
    <row r="40" spans="1:13" x14ac:dyDescent="0.35">
      <c r="A40">
        <v>97</v>
      </c>
      <c r="B40" s="1">
        <v>45293</v>
      </c>
      <c r="C40" s="1" t="str">
        <f t="shared" si="3"/>
        <v>Jan</v>
      </c>
      <c r="D40" s="1" t="str">
        <f t="shared" si="4"/>
        <v>2024</v>
      </c>
      <c r="E40" t="s">
        <v>10</v>
      </c>
      <c r="F40" t="s">
        <v>14</v>
      </c>
      <c r="G40" t="s">
        <v>6</v>
      </c>
      <c r="H40">
        <v>368</v>
      </c>
      <c r="I40">
        <v>25254</v>
      </c>
      <c r="J40" s="2">
        <f>Table1[[#This Row],[TotalCost]]/Table1[[#This Row],[UnitsProduced]]</f>
        <v>68.625</v>
      </c>
      <c r="K40" t="s">
        <v>12</v>
      </c>
      <c r="L40">
        <v>25</v>
      </c>
      <c r="M40" t="str">
        <f t="shared" si="5"/>
        <v>A1</v>
      </c>
    </row>
    <row r="41" spans="1:13" x14ac:dyDescent="0.35">
      <c r="A41">
        <v>22</v>
      </c>
      <c r="B41" s="1">
        <v>45294</v>
      </c>
      <c r="C41" s="1" t="str">
        <f t="shared" si="3"/>
        <v>Jan</v>
      </c>
      <c r="D41" s="1" t="str">
        <f t="shared" si="4"/>
        <v>2024</v>
      </c>
      <c r="E41" t="s">
        <v>10</v>
      </c>
      <c r="F41" t="s">
        <v>17</v>
      </c>
      <c r="G41" t="s">
        <v>4</v>
      </c>
      <c r="H41">
        <v>180</v>
      </c>
      <c r="I41">
        <v>33684</v>
      </c>
      <c r="J41" s="2">
        <f>Table1[[#This Row],[TotalCost]]/Table1[[#This Row],[UnitsProduced]]</f>
        <v>187.13333333333333</v>
      </c>
      <c r="K41" t="s">
        <v>12</v>
      </c>
      <c r="L41">
        <v>49</v>
      </c>
      <c r="M41" t="str">
        <f t="shared" si="5"/>
        <v>A3</v>
      </c>
    </row>
    <row r="42" spans="1:13" x14ac:dyDescent="0.35">
      <c r="A42">
        <v>57</v>
      </c>
      <c r="B42" s="1">
        <v>45296</v>
      </c>
      <c r="C42" s="1" t="str">
        <f t="shared" si="3"/>
        <v>Jan</v>
      </c>
      <c r="D42" s="1" t="str">
        <f t="shared" si="4"/>
        <v>2024</v>
      </c>
      <c r="E42" t="s">
        <v>10</v>
      </c>
      <c r="F42" t="s">
        <v>14</v>
      </c>
      <c r="G42" t="s">
        <v>1</v>
      </c>
      <c r="H42">
        <v>255</v>
      </c>
      <c r="I42">
        <v>57706</v>
      </c>
      <c r="J42" s="2">
        <f>Table1[[#This Row],[TotalCost]]/Table1[[#This Row],[UnitsProduced]]</f>
        <v>226.29803921568629</v>
      </c>
      <c r="K42" t="s">
        <v>12</v>
      </c>
      <c r="L42">
        <v>25</v>
      </c>
      <c r="M42" t="str">
        <f t="shared" si="5"/>
        <v>A1</v>
      </c>
    </row>
    <row r="43" spans="1:13" x14ac:dyDescent="0.35">
      <c r="A43">
        <v>24</v>
      </c>
      <c r="B43" s="1">
        <v>45296</v>
      </c>
      <c r="C43" s="1" t="str">
        <f t="shared" si="3"/>
        <v>Jan</v>
      </c>
      <c r="D43" s="1" t="str">
        <f t="shared" si="4"/>
        <v>2024</v>
      </c>
      <c r="E43" t="s">
        <v>3</v>
      </c>
      <c r="F43" t="s">
        <v>20</v>
      </c>
      <c r="G43" t="s">
        <v>4</v>
      </c>
      <c r="H43">
        <v>458</v>
      </c>
      <c r="I43">
        <v>42873</v>
      </c>
      <c r="J43" s="2">
        <f>Table1[[#This Row],[TotalCost]]/Table1[[#This Row],[UnitsProduced]]</f>
        <v>93.609170305676855</v>
      </c>
      <c r="K43" t="s">
        <v>12</v>
      </c>
      <c r="L43">
        <v>57</v>
      </c>
      <c r="M43" t="str">
        <f t="shared" si="5"/>
        <v>A3</v>
      </c>
    </row>
    <row r="44" spans="1:13" x14ac:dyDescent="0.35">
      <c r="A44">
        <v>8</v>
      </c>
      <c r="B44" s="1">
        <v>45299</v>
      </c>
      <c r="C44" s="1" t="str">
        <f t="shared" si="3"/>
        <v>Jan</v>
      </c>
      <c r="D44" s="1" t="str">
        <f t="shared" si="4"/>
        <v>2024</v>
      </c>
      <c r="E44" t="s">
        <v>10</v>
      </c>
      <c r="F44" t="s">
        <v>15</v>
      </c>
      <c r="G44" t="s">
        <v>6</v>
      </c>
      <c r="H44">
        <v>447</v>
      </c>
      <c r="I44">
        <v>52269</v>
      </c>
      <c r="J44" s="2">
        <f>Table1[[#This Row],[TotalCost]]/Table1[[#This Row],[UnitsProduced]]</f>
        <v>116.93288590604027</v>
      </c>
      <c r="K44" t="s">
        <v>0</v>
      </c>
      <c r="L44">
        <v>28</v>
      </c>
      <c r="M44" t="str">
        <f t="shared" si="5"/>
        <v>A1</v>
      </c>
    </row>
    <row r="45" spans="1:13" x14ac:dyDescent="0.35">
      <c r="A45">
        <v>21</v>
      </c>
      <c r="B45" s="1">
        <v>45304</v>
      </c>
      <c r="C45" s="1" t="str">
        <f t="shared" si="3"/>
        <v>Jan</v>
      </c>
      <c r="D45" s="1" t="str">
        <f t="shared" si="4"/>
        <v>2024</v>
      </c>
      <c r="E45" t="s">
        <v>3</v>
      </c>
      <c r="F45" t="s">
        <v>2</v>
      </c>
      <c r="G45" t="s">
        <v>4</v>
      </c>
      <c r="H45">
        <v>250</v>
      </c>
      <c r="I45">
        <v>11385</v>
      </c>
      <c r="J45" s="2">
        <f>Table1[[#This Row],[TotalCost]]/Table1[[#This Row],[UnitsProduced]]</f>
        <v>45.54</v>
      </c>
      <c r="K45" t="s">
        <v>0</v>
      </c>
      <c r="L45">
        <v>42</v>
      </c>
      <c r="M45" t="str">
        <f t="shared" si="5"/>
        <v>A2</v>
      </c>
    </row>
    <row r="46" spans="1:13" x14ac:dyDescent="0.35">
      <c r="A46">
        <v>88</v>
      </c>
      <c r="B46" s="1">
        <v>45305</v>
      </c>
      <c r="C46" s="1" t="str">
        <f t="shared" si="3"/>
        <v>Jan</v>
      </c>
      <c r="D46" s="1" t="str">
        <f t="shared" si="4"/>
        <v>2024</v>
      </c>
      <c r="E46" t="s">
        <v>7</v>
      </c>
      <c r="F46" t="s">
        <v>13</v>
      </c>
      <c r="G46" t="s">
        <v>1</v>
      </c>
      <c r="H46">
        <v>264</v>
      </c>
      <c r="I46">
        <v>75332</v>
      </c>
      <c r="J46" s="2">
        <f>Table1[[#This Row],[TotalCost]]/Table1[[#This Row],[UnitsProduced]]</f>
        <v>285.34848484848487</v>
      </c>
      <c r="K46" t="s">
        <v>12</v>
      </c>
      <c r="L46">
        <v>28</v>
      </c>
      <c r="M46" t="str">
        <f t="shared" si="5"/>
        <v>A1</v>
      </c>
    </row>
    <row r="47" spans="1:13" x14ac:dyDescent="0.35">
      <c r="A47">
        <v>119</v>
      </c>
      <c r="B47" s="1">
        <v>45305</v>
      </c>
      <c r="C47" s="1" t="str">
        <f t="shared" si="3"/>
        <v>Jan</v>
      </c>
      <c r="D47" s="1" t="str">
        <f t="shared" si="4"/>
        <v>2024</v>
      </c>
      <c r="E47" t="s">
        <v>10</v>
      </c>
      <c r="F47" t="s">
        <v>20</v>
      </c>
      <c r="G47" t="s">
        <v>6</v>
      </c>
      <c r="H47">
        <v>199</v>
      </c>
      <c r="I47">
        <v>56118</v>
      </c>
      <c r="J47" s="2">
        <f>Table1[[#This Row],[TotalCost]]/Table1[[#This Row],[UnitsProduced]]</f>
        <v>282</v>
      </c>
      <c r="K47" t="s">
        <v>19</v>
      </c>
      <c r="L47">
        <v>57</v>
      </c>
      <c r="M47" t="str">
        <f t="shared" si="5"/>
        <v>A3</v>
      </c>
    </row>
    <row r="48" spans="1:13" x14ac:dyDescent="0.35">
      <c r="A48">
        <v>86</v>
      </c>
      <c r="B48" s="1">
        <v>45307</v>
      </c>
      <c r="C48" s="1" t="str">
        <f t="shared" si="3"/>
        <v>Jan</v>
      </c>
      <c r="D48" s="1" t="str">
        <f t="shared" si="4"/>
        <v>2024</v>
      </c>
      <c r="E48" t="s">
        <v>3</v>
      </c>
      <c r="F48" t="s">
        <v>13</v>
      </c>
      <c r="G48" t="s">
        <v>9</v>
      </c>
      <c r="H48">
        <v>60</v>
      </c>
      <c r="I48">
        <v>5822</v>
      </c>
      <c r="J48" s="2">
        <f>Table1[[#This Row],[TotalCost]]/Table1[[#This Row],[UnitsProduced]]</f>
        <v>97.033333333333331</v>
      </c>
      <c r="K48" t="s">
        <v>0</v>
      </c>
      <c r="L48">
        <v>28</v>
      </c>
      <c r="M48" t="str">
        <f t="shared" si="5"/>
        <v>A1</v>
      </c>
    </row>
    <row r="49" spans="1:13" x14ac:dyDescent="0.35">
      <c r="A49">
        <v>85</v>
      </c>
      <c r="B49" s="1">
        <v>45309</v>
      </c>
      <c r="C49" s="1" t="str">
        <f t="shared" si="3"/>
        <v>Jan</v>
      </c>
      <c r="D49" s="1" t="str">
        <f t="shared" si="4"/>
        <v>2024</v>
      </c>
      <c r="E49" t="s">
        <v>10</v>
      </c>
      <c r="F49" t="s">
        <v>2</v>
      </c>
      <c r="G49" t="s">
        <v>6</v>
      </c>
      <c r="H49">
        <v>192</v>
      </c>
      <c r="I49">
        <v>18648</v>
      </c>
      <c r="J49" s="2">
        <f>Table1[[#This Row],[TotalCost]]/Table1[[#This Row],[UnitsProduced]]</f>
        <v>97.125</v>
      </c>
      <c r="K49" t="s">
        <v>12</v>
      </c>
      <c r="L49">
        <v>42</v>
      </c>
      <c r="M49" t="str">
        <f t="shared" si="5"/>
        <v>A2</v>
      </c>
    </row>
    <row r="50" spans="1:13" x14ac:dyDescent="0.35">
      <c r="A50">
        <v>16</v>
      </c>
      <c r="B50" s="1">
        <v>45318</v>
      </c>
      <c r="C50" s="1" t="str">
        <f t="shared" si="3"/>
        <v>Jan</v>
      </c>
      <c r="D50" s="1" t="str">
        <f t="shared" si="4"/>
        <v>2024</v>
      </c>
      <c r="E50" t="s">
        <v>7</v>
      </c>
      <c r="F50" t="s">
        <v>16</v>
      </c>
      <c r="G50" t="s">
        <v>1</v>
      </c>
      <c r="H50">
        <v>193</v>
      </c>
      <c r="I50">
        <v>18796</v>
      </c>
      <c r="J50" s="2">
        <f>Table1[[#This Row],[TotalCost]]/Table1[[#This Row],[UnitsProduced]]</f>
        <v>97.388601036269435</v>
      </c>
      <c r="K50" t="s">
        <v>0</v>
      </c>
      <c r="L50">
        <v>26</v>
      </c>
      <c r="M50" t="str">
        <f t="shared" si="5"/>
        <v>A1</v>
      </c>
    </row>
    <row r="51" spans="1:13" x14ac:dyDescent="0.35">
      <c r="A51">
        <v>92</v>
      </c>
      <c r="B51" s="1">
        <v>45329</v>
      </c>
      <c r="C51" s="1" t="str">
        <f t="shared" si="3"/>
        <v>Feb</v>
      </c>
      <c r="D51" s="1" t="str">
        <f t="shared" si="4"/>
        <v>2024</v>
      </c>
      <c r="E51" t="s">
        <v>3</v>
      </c>
      <c r="F51" t="s">
        <v>14</v>
      </c>
      <c r="G51" t="s">
        <v>4</v>
      </c>
      <c r="H51">
        <v>214</v>
      </c>
      <c r="I51">
        <v>4984</v>
      </c>
      <c r="J51" s="2">
        <f>Table1[[#This Row],[TotalCost]]/Table1[[#This Row],[UnitsProduced]]</f>
        <v>23.289719626168225</v>
      </c>
      <c r="K51" t="s">
        <v>0</v>
      </c>
      <c r="L51">
        <v>25</v>
      </c>
      <c r="M51" t="str">
        <f t="shared" si="5"/>
        <v>A1</v>
      </c>
    </row>
    <row r="52" spans="1:13" x14ac:dyDescent="0.35">
      <c r="A52">
        <v>87</v>
      </c>
      <c r="B52" s="1">
        <v>45330</v>
      </c>
      <c r="C52" s="1" t="str">
        <f t="shared" si="3"/>
        <v>Feb</v>
      </c>
      <c r="D52" s="1" t="str">
        <f t="shared" si="4"/>
        <v>2024</v>
      </c>
      <c r="E52" t="s">
        <v>10</v>
      </c>
      <c r="F52" t="s">
        <v>2</v>
      </c>
      <c r="G52" t="s">
        <v>1</v>
      </c>
      <c r="H52">
        <v>209</v>
      </c>
      <c r="I52">
        <v>51221</v>
      </c>
      <c r="J52" s="2">
        <f>Table1[[#This Row],[TotalCost]]/Table1[[#This Row],[UnitsProduced]]</f>
        <v>245.07655502392345</v>
      </c>
      <c r="K52" t="s">
        <v>12</v>
      </c>
      <c r="L52">
        <v>42</v>
      </c>
      <c r="M52" t="str">
        <f t="shared" si="5"/>
        <v>A2</v>
      </c>
    </row>
    <row r="53" spans="1:13" x14ac:dyDescent="0.35">
      <c r="A53">
        <v>11</v>
      </c>
      <c r="B53" s="1">
        <v>45335</v>
      </c>
      <c r="C53" s="1" t="str">
        <f t="shared" si="3"/>
        <v>Feb</v>
      </c>
      <c r="D53" s="1" t="str">
        <f t="shared" si="4"/>
        <v>2024</v>
      </c>
      <c r="E53" t="s">
        <v>10</v>
      </c>
      <c r="F53" t="s">
        <v>11</v>
      </c>
      <c r="G53" t="s">
        <v>4</v>
      </c>
      <c r="H53">
        <v>494</v>
      </c>
      <c r="I53">
        <v>46767</v>
      </c>
      <c r="J53" s="2">
        <f>Table1[[#This Row],[TotalCost]]/Table1[[#This Row],[UnitsProduced]]</f>
        <v>94.670040485829958</v>
      </c>
      <c r="K53" t="s">
        <v>12</v>
      </c>
      <c r="L53">
        <v>25</v>
      </c>
      <c r="M53" t="str">
        <f t="shared" si="5"/>
        <v>A1</v>
      </c>
    </row>
    <row r="54" spans="1:13" x14ac:dyDescent="0.35">
      <c r="A54">
        <v>81</v>
      </c>
      <c r="B54" s="1">
        <v>45335</v>
      </c>
      <c r="C54" s="1" t="str">
        <f t="shared" si="3"/>
        <v>Feb</v>
      </c>
      <c r="D54" s="1" t="str">
        <f t="shared" si="4"/>
        <v>2024</v>
      </c>
      <c r="E54" t="s">
        <v>5</v>
      </c>
      <c r="F54" t="s">
        <v>2</v>
      </c>
      <c r="G54" t="s">
        <v>9</v>
      </c>
      <c r="H54">
        <v>32</v>
      </c>
      <c r="I54">
        <v>3132</v>
      </c>
      <c r="J54" s="2">
        <f>Table1[[#This Row],[TotalCost]]/Table1[[#This Row],[UnitsProduced]]</f>
        <v>97.875</v>
      </c>
      <c r="K54" t="s">
        <v>0</v>
      </c>
      <c r="L54">
        <v>42</v>
      </c>
      <c r="M54" t="str">
        <f t="shared" si="5"/>
        <v>A2</v>
      </c>
    </row>
    <row r="55" spans="1:13" x14ac:dyDescent="0.35">
      <c r="A55">
        <v>29</v>
      </c>
      <c r="B55" s="1">
        <v>45339</v>
      </c>
      <c r="C55" s="1" t="str">
        <f t="shared" si="3"/>
        <v>Feb</v>
      </c>
      <c r="D55" s="1" t="str">
        <f t="shared" si="4"/>
        <v>2024</v>
      </c>
      <c r="E55" t="s">
        <v>10</v>
      </c>
      <c r="F55" t="s">
        <v>2</v>
      </c>
      <c r="G55" t="s">
        <v>6</v>
      </c>
      <c r="H55">
        <v>499</v>
      </c>
      <c r="I55">
        <v>48316</v>
      </c>
      <c r="J55" s="2">
        <f>Table1[[#This Row],[TotalCost]]/Table1[[#This Row],[UnitsProduced]]</f>
        <v>96.825651302605209</v>
      </c>
      <c r="K55" t="s">
        <v>12</v>
      </c>
      <c r="L55">
        <v>42</v>
      </c>
      <c r="M55" t="str">
        <f t="shared" si="5"/>
        <v>A2</v>
      </c>
    </row>
    <row r="56" spans="1:13" x14ac:dyDescent="0.35">
      <c r="A56">
        <v>96</v>
      </c>
      <c r="B56" s="1">
        <v>45347</v>
      </c>
      <c r="C56" s="1" t="str">
        <f t="shared" si="3"/>
        <v>Feb</v>
      </c>
      <c r="D56" s="1" t="str">
        <f t="shared" si="4"/>
        <v>2024</v>
      </c>
      <c r="E56" t="s">
        <v>7</v>
      </c>
      <c r="F56" t="s">
        <v>13</v>
      </c>
      <c r="G56" t="s">
        <v>9</v>
      </c>
      <c r="H56">
        <v>128</v>
      </c>
      <c r="I56">
        <v>35088</v>
      </c>
      <c r="J56" s="2">
        <f>Table1[[#This Row],[TotalCost]]/Table1[[#This Row],[UnitsProduced]]</f>
        <v>274.125</v>
      </c>
      <c r="K56" t="s">
        <v>0</v>
      </c>
      <c r="L56">
        <v>28</v>
      </c>
      <c r="M56" t="str">
        <f t="shared" si="5"/>
        <v>A1</v>
      </c>
    </row>
    <row r="57" spans="1:13" x14ac:dyDescent="0.35">
      <c r="A57">
        <v>89</v>
      </c>
      <c r="B57" s="1">
        <v>45348</v>
      </c>
      <c r="C57" s="1" t="str">
        <f t="shared" si="3"/>
        <v>Feb</v>
      </c>
      <c r="D57" s="1" t="str">
        <f t="shared" si="4"/>
        <v>2024</v>
      </c>
      <c r="E57" t="s">
        <v>10</v>
      </c>
      <c r="F57" t="s">
        <v>16</v>
      </c>
      <c r="G57" t="s">
        <v>6</v>
      </c>
      <c r="H57">
        <v>97</v>
      </c>
      <c r="I57">
        <v>679</v>
      </c>
      <c r="J57" s="2">
        <f>Table1[[#This Row],[TotalCost]]/Table1[[#This Row],[UnitsProduced]]</f>
        <v>7</v>
      </c>
      <c r="K57" t="s">
        <v>12</v>
      </c>
      <c r="L57">
        <v>26</v>
      </c>
      <c r="M57" t="str">
        <f t="shared" si="5"/>
        <v>A1</v>
      </c>
    </row>
    <row r="58" spans="1:13" x14ac:dyDescent="0.35">
      <c r="A58">
        <v>68</v>
      </c>
      <c r="B58" s="1">
        <v>45350</v>
      </c>
      <c r="C58" s="1" t="str">
        <f t="shared" si="3"/>
        <v>Feb</v>
      </c>
      <c r="D58" s="1" t="str">
        <f t="shared" si="4"/>
        <v>2024</v>
      </c>
      <c r="E58" t="s">
        <v>3</v>
      </c>
      <c r="F58" t="s">
        <v>17</v>
      </c>
      <c r="G58" t="s">
        <v>9</v>
      </c>
      <c r="H58">
        <v>308</v>
      </c>
      <c r="I58">
        <v>27956</v>
      </c>
      <c r="J58" s="2">
        <f>Table1[[#This Row],[TotalCost]]/Table1[[#This Row],[UnitsProduced]]</f>
        <v>90.766233766233768</v>
      </c>
      <c r="K58" t="s">
        <v>19</v>
      </c>
      <c r="L58">
        <v>49</v>
      </c>
      <c r="M58" t="str">
        <f t="shared" si="5"/>
        <v>A3</v>
      </c>
    </row>
    <row r="59" spans="1:13" x14ac:dyDescent="0.35">
      <c r="A59">
        <v>71</v>
      </c>
      <c r="B59" s="1">
        <v>45350</v>
      </c>
      <c r="C59" s="1" t="str">
        <f t="shared" si="3"/>
        <v>Feb</v>
      </c>
      <c r="D59" s="1" t="str">
        <f t="shared" si="4"/>
        <v>2024</v>
      </c>
      <c r="E59" t="s">
        <v>7</v>
      </c>
      <c r="F59" t="s">
        <v>17</v>
      </c>
      <c r="G59" t="s">
        <v>1</v>
      </c>
      <c r="H59">
        <v>95</v>
      </c>
      <c r="I59">
        <v>46800</v>
      </c>
      <c r="J59" s="2">
        <f>Table1[[#This Row],[TotalCost]]/Table1[[#This Row],[UnitsProduced]]</f>
        <v>492.63157894736844</v>
      </c>
      <c r="K59" t="s">
        <v>0</v>
      </c>
      <c r="L59">
        <v>49</v>
      </c>
      <c r="M59" t="str">
        <f t="shared" si="5"/>
        <v>A3</v>
      </c>
    </row>
    <row r="60" spans="1:13" x14ac:dyDescent="0.35">
      <c r="A60">
        <v>6</v>
      </c>
      <c r="B60" s="1">
        <v>45350</v>
      </c>
      <c r="C60" s="1" t="str">
        <f t="shared" si="3"/>
        <v>Feb</v>
      </c>
      <c r="D60" s="1" t="str">
        <f t="shared" si="4"/>
        <v>2024</v>
      </c>
      <c r="E60" t="s">
        <v>10</v>
      </c>
      <c r="F60" t="s">
        <v>16</v>
      </c>
      <c r="G60" t="s">
        <v>4</v>
      </c>
      <c r="H60">
        <v>401</v>
      </c>
      <c r="I60">
        <v>19691</v>
      </c>
      <c r="J60" s="2">
        <f>Table1[[#This Row],[TotalCost]]/Table1[[#This Row],[UnitsProduced]]</f>
        <v>49.104738154613464</v>
      </c>
      <c r="K60" t="s">
        <v>0</v>
      </c>
      <c r="L60">
        <v>26</v>
      </c>
      <c r="M60" t="str">
        <f t="shared" si="5"/>
        <v>A1</v>
      </c>
    </row>
    <row r="61" spans="1:13" x14ac:dyDescent="0.35">
      <c r="A61">
        <v>49</v>
      </c>
      <c r="B61" s="1">
        <v>45350</v>
      </c>
      <c r="C61" s="1" t="str">
        <f t="shared" si="3"/>
        <v>Feb</v>
      </c>
      <c r="D61" s="1" t="str">
        <f t="shared" si="4"/>
        <v>2024</v>
      </c>
      <c r="E61" t="s">
        <v>3</v>
      </c>
      <c r="F61" t="s">
        <v>16</v>
      </c>
      <c r="G61" t="s">
        <v>4</v>
      </c>
      <c r="H61">
        <v>74</v>
      </c>
      <c r="I61">
        <v>36708</v>
      </c>
      <c r="J61" s="2">
        <f>Table1[[#This Row],[TotalCost]]/Table1[[#This Row],[UnitsProduced]]</f>
        <v>496.05405405405406</v>
      </c>
      <c r="K61" t="s">
        <v>0</v>
      </c>
      <c r="L61">
        <v>26</v>
      </c>
      <c r="M61" t="str">
        <f t="shared" si="5"/>
        <v>A1</v>
      </c>
    </row>
    <row r="62" spans="1:13" x14ac:dyDescent="0.35">
      <c r="A62">
        <v>62</v>
      </c>
      <c r="B62" s="1">
        <v>45350</v>
      </c>
      <c r="C62" s="1" t="str">
        <f t="shared" si="3"/>
        <v>Feb</v>
      </c>
      <c r="D62" s="1" t="str">
        <f t="shared" si="4"/>
        <v>2024</v>
      </c>
      <c r="E62" t="s">
        <v>10</v>
      </c>
      <c r="F62" t="s">
        <v>20</v>
      </c>
      <c r="G62" t="s">
        <v>4</v>
      </c>
      <c r="H62">
        <v>535</v>
      </c>
      <c r="I62">
        <v>44330</v>
      </c>
      <c r="J62" s="2">
        <f>Table1[[#This Row],[TotalCost]]/Table1[[#This Row],[UnitsProduced]]</f>
        <v>82.859813084112147</v>
      </c>
      <c r="K62" t="s">
        <v>0</v>
      </c>
      <c r="L62">
        <v>57</v>
      </c>
      <c r="M62" t="str">
        <f t="shared" si="5"/>
        <v>A3</v>
      </c>
    </row>
    <row r="63" spans="1:13" x14ac:dyDescent="0.35">
      <c r="A63">
        <v>80</v>
      </c>
      <c r="B63" s="1">
        <v>45350</v>
      </c>
      <c r="C63" s="1" t="str">
        <f t="shared" si="3"/>
        <v>Feb</v>
      </c>
      <c r="D63" s="1" t="str">
        <f t="shared" si="4"/>
        <v>2024</v>
      </c>
      <c r="E63" t="s">
        <v>3</v>
      </c>
      <c r="F63" t="s">
        <v>20</v>
      </c>
      <c r="G63" t="s">
        <v>4</v>
      </c>
      <c r="H63">
        <v>380</v>
      </c>
      <c r="I63">
        <v>44525</v>
      </c>
      <c r="J63" s="2">
        <f>Table1[[#This Row],[TotalCost]]/Table1[[#This Row],[UnitsProduced]]</f>
        <v>117.17105263157895</v>
      </c>
      <c r="K63" t="s">
        <v>19</v>
      </c>
      <c r="L63">
        <v>57</v>
      </c>
      <c r="M63" t="str">
        <f t="shared" si="5"/>
        <v>A3</v>
      </c>
    </row>
    <row r="64" spans="1:13" x14ac:dyDescent="0.35">
      <c r="A64">
        <v>52</v>
      </c>
      <c r="B64" s="1">
        <v>45350</v>
      </c>
      <c r="C64" s="1" t="str">
        <f t="shared" si="3"/>
        <v>Feb</v>
      </c>
      <c r="D64" s="1" t="str">
        <f t="shared" si="4"/>
        <v>2024</v>
      </c>
      <c r="E64" t="s">
        <v>3</v>
      </c>
      <c r="F64" t="s">
        <v>2</v>
      </c>
      <c r="G64" t="s">
        <v>4</v>
      </c>
      <c r="H64">
        <v>343</v>
      </c>
      <c r="I64">
        <v>33344</v>
      </c>
      <c r="J64" s="2">
        <f>Table1[[#This Row],[TotalCost]]/Table1[[#This Row],[UnitsProduced]]</f>
        <v>97.212827988338191</v>
      </c>
      <c r="K64" t="s">
        <v>0</v>
      </c>
      <c r="L64">
        <v>42</v>
      </c>
      <c r="M64" t="str">
        <f t="shared" si="5"/>
        <v>A2</v>
      </c>
    </row>
    <row r="65" spans="1:13" x14ac:dyDescent="0.35">
      <c r="A65">
        <v>105</v>
      </c>
      <c r="B65" s="1">
        <v>45350</v>
      </c>
      <c r="C65" s="1" t="str">
        <f t="shared" si="3"/>
        <v>Feb</v>
      </c>
      <c r="D65" s="1" t="str">
        <f t="shared" si="4"/>
        <v>2024</v>
      </c>
      <c r="E65" t="s">
        <v>7</v>
      </c>
      <c r="F65" t="s">
        <v>2</v>
      </c>
      <c r="G65" t="s">
        <v>4</v>
      </c>
      <c r="H65">
        <v>318</v>
      </c>
      <c r="I65">
        <v>16864</v>
      </c>
      <c r="J65" s="2">
        <f>Table1[[#This Row],[TotalCost]]/Table1[[#This Row],[UnitsProduced]]</f>
        <v>53.031446540880502</v>
      </c>
      <c r="K65" t="s">
        <v>0</v>
      </c>
      <c r="L65">
        <v>42</v>
      </c>
      <c r="M65" t="str">
        <f t="shared" si="5"/>
        <v>A2</v>
      </c>
    </row>
    <row r="66" spans="1:13" x14ac:dyDescent="0.35">
      <c r="A66">
        <v>72</v>
      </c>
      <c r="B66" s="1">
        <v>45356</v>
      </c>
      <c r="C66" s="1" t="str">
        <f t="shared" ref="C66:C97" si="6">TEXT(B66,"mmm")</f>
        <v>Mar</v>
      </c>
      <c r="D66" s="1" t="str">
        <f t="shared" ref="D66:D97" si="7">TEXT(B66,"YYYY")</f>
        <v>2024</v>
      </c>
      <c r="E66" t="s">
        <v>7</v>
      </c>
      <c r="F66" t="s">
        <v>2</v>
      </c>
      <c r="G66" t="s">
        <v>1</v>
      </c>
      <c r="H66">
        <v>218</v>
      </c>
      <c r="I66">
        <v>7125</v>
      </c>
      <c r="J66" s="2">
        <f>Table1[[#This Row],[TotalCost]]/Table1[[#This Row],[UnitsProduced]]</f>
        <v>32.683486238532112</v>
      </c>
      <c r="K66" t="s">
        <v>0</v>
      </c>
      <c r="L66">
        <v>42</v>
      </c>
      <c r="M66" t="str">
        <f t="shared" ref="M66:M97" si="8">IF(L66&lt;=35,"A1",IF(L66&lt;=45,"A2","A3"))</f>
        <v>A2</v>
      </c>
    </row>
    <row r="67" spans="1:13" x14ac:dyDescent="0.35">
      <c r="A67">
        <v>75</v>
      </c>
      <c r="B67" s="1">
        <v>45357</v>
      </c>
      <c r="C67" s="1" t="str">
        <f t="shared" si="6"/>
        <v>Mar</v>
      </c>
      <c r="D67" s="1" t="str">
        <f t="shared" si="7"/>
        <v>2024</v>
      </c>
      <c r="E67" t="s">
        <v>10</v>
      </c>
      <c r="F67" t="s">
        <v>15</v>
      </c>
      <c r="G67" t="s">
        <v>9</v>
      </c>
      <c r="H67">
        <v>128</v>
      </c>
      <c r="I67">
        <v>679</v>
      </c>
      <c r="J67" s="2">
        <f>Table1[[#This Row],[TotalCost]]/Table1[[#This Row],[UnitsProduced]]</f>
        <v>5.3046875</v>
      </c>
      <c r="K67" t="s">
        <v>0</v>
      </c>
      <c r="L67">
        <v>28</v>
      </c>
      <c r="M67" t="str">
        <f t="shared" si="8"/>
        <v>A1</v>
      </c>
    </row>
    <row r="68" spans="1:13" x14ac:dyDescent="0.35">
      <c r="A68">
        <v>120</v>
      </c>
      <c r="B68" s="1">
        <v>45361</v>
      </c>
      <c r="C68" s="1" t="str">
        <f t="shared" si="6"/>
        <v>Mar</v>
      </c>
      <c r="D68" s="1" t="str">
        <f t="shared" si="7"/>
        <v>2024</v>
      </c>
      <c r="E68" t="s">
        <v>5</v>
      </c>
      <c r="F68" t="s">
        <v>8</v>
      </c>
      <c r="G68" t="s">
        <v>9</v>
      </c>
      <c r="H68">
        <v>497</v>
      </c>
      <c r="I68">
        <v>46548</v>
      </c>
      <c r="J68" s="2">
        <f>Table1[[#This Row],[TotalCost]]/Table1[[#This Row],[UnitsProduced]]</f>
        <v>93.6579476861167</v>
      </c>
      <c r="K68" t="s">
        <v>12</v>
      </c>
      <c r="L68">
        <v>36</v>
      </c>
      <c r="M68" t="str">
        <f t="shared" si="8"/>
        <v>A2</v>
      </c>
    </row>
    <row r="69" spans="1:13" x14ac:dyDescent="0.35">
      <c r="A69">
        <v>51</v>
      </c>
      <c r="B69" s="1">
        <v>45364</v>
      </c>
      <c r="C69" s="1" t="str">
        <f t="shared" si="6"/>
        <v>Mar</v>
      </c>
      <c r="D69" s="1" t="str">
        <f t="shared" si="7"/>
        <v>2024</v>
      </c>
      <c r="E69" t="s">
        <v>3</v>
      </c>
      <c r="F69" t="s">
        <v>20</v>
      </c>
      <c r="G69" t="s">
        <v>4</v>
      </c>
      <c r="H69">
        <v>358</v>
      </c>
      <c r="I69">
        <v>13568</v>
      </c>
      <c r="J69" s="2">
        <f>Table1[[#This Row],[TotalCost]]/Table1[[#This Row],[UnitsProduced]]</f>
        <v>37.899441340782126</v>
      </c>
      <c r="K69" t="s">
        <v>12</v>
      </c>
      <c r="L69">
        <v>57</v>
      </c>
      <c r="M69" t="str">
        <f t="shared" si="8"/>
        <v>A3</v>
      </c>
    </row>
    <row r="70" spans="1:13" x14ac:dyDescent="0.35">
      <c r="A70">
        <v>84</v>
      </c>
      <c r="B70" s="1">
        <v>45369</v>
      </c>
      <c r="C70" s="1" t="str">
        <f t="shared" si="6"/>
        <v>Mar</v>
      </c>
      <c r="D70" s="1" t="str">
        <f t="shared" si="7"/>
        <v>2024</v>
      </c>
      <c r="E70" t="s">
        <v>10</v>
      </c>
      <c r="F70" t="s">
        <v>13</v>
      </c>
      <c r="G70" t="s">
        <v>6</v>
      </c>
      <c r="H70">
        <v>84</v>
      </c>
      <c r="I70">
        <v>10688</v>
      </c>
      <c r="J70" s="2">
        <f>Table1[[#This Row],[TotalCost]]/Table1[[#This Row],[UnitsProduced]]</f>
        <v>127.23809523809524</v>
      </c>
      <c r="K70" t="s">
        <v>12</v>
      </c>
      <c r="L70">
        <v>28</v>
      </c>
      <c r="M70" t="str">
        <f t="shared" si="8"/>
        <v>A1</v>
      </c>
    </row>
    <row r="71" spans="1:13" x14ac:dyDescent="0.35">
      <c r="A71">
        <v>113</v>
      </c>
      <c r="B71" s="1">
        <v>45370</v>
      </c>
      <c r="C71" s="1" t="str">
        <f t="shared" si="6"/>
        <v>Mar</v>
      </c>
      <c r="D71" s="1" t="str">
        <f t="shared" si="7"/>
        <v>2024</v>
      </c>
      <c r="E71" t="s">
        <v>5</v>
      </c>
      <c r="F71" t="s">
        <v>16</v>
      </c>
      <c r="G71" t="s">
        <v>9</v>
      </c>
      <c r="H71">
        <v>81</v>
      </c>
      <c r="I71">
        <v>31414</v>
      </c>
      <c r="J71" s="2">
        <f>Table1[[#This Row],[TotalCost]]/Table1[[#This Row],[UnitsProduced]]</f>
        <v>387.82716049382714</v>
      </c>
      <c r="K71" t="s">
        <v>12</v>
      </c>
      <c r="L71">
        <v>26</v>
      </c>
      <c r="M71" t="str">
        <f t="shared" si="8"/>
        <v>A1</v>
      </c>
    </row>
    <row r="72" spans="1:13" x14ac:dyDescent="0.35">
      <c r="A72">
        <v>32</v>
      </c>
      <c r="B72" s="1">
        <v>45371</v>
      </c>
      <c r="C72" s="1" t="str">
        <f t="shared" si="6"/>
        <v>Mar</v>
      </c>
      <c r="D72" s="1" t="str">
        <f t="shared" si="7"/>
        <v>2024</v>
      </c>
      <c r="E72" t="s">
        <v>5</v>
      </c>
      <c r="F72" t="s">
        <v>2</v>
      </c>
      <c r="G72" t="s">
        <v>9</v>
      </c>
      <c r="H72">
        <v>389</v>
      </c>
      <c r="I72">
        <v>37744</v>
      </c>
      <c r="J72" s="2">
        <f>Table1[[#This Row],[TotalCost]]/Table1[[#This Row],[UnitsProduced]]</f>
        <v>97.028277634961441</v>
      </c>
      <c r="K72" t="s">
        <v>0</v>
      </c>
      <c r="L72">
        <v>42</v>
      </c>
      <c r="M72" t="str">
        <f t="shared" si="8"/>
        <v>A2</v>
      </c>
    </row>
    <row r="73" spans="1:13" x14ac:dyDescent="0.35">
      <c r="A73">
        <v>60</v>
      </c>
      <c r="B73" s="1">
        <v>45372</v>
      </c>
      <c r="C73" s="1" t="str">
        <f t="shared" si="6"/>
        <v>Mar</v>
      </c>
      <c r="D73" s="1" t="str">
        <f t="shared" si="7"/>
        <v>2024</v>
      </c>
      <c r="E73" t="s">
        <v>7</v>
      </c>
      <c r="F73" t="s">
        <v>14</v>
      </c>
      <c r="G73" t="s">
        <v>4</v>
      </c>
      <c r="H73">
        <v>178</v>
      </c>
      <c r="I73">
        <v>679</v>
      </c>
      <c r="J73" s="2">
        <f>Table1[[#This Row],[TotalCost]]/Table1[[#This Row],[UnitsProduced]]</f>
        <v>3.8146067415730336</v>
      </c>
      <c r="K73" t="s">
        <v>0</v>
      </c>
      <c r="L73">
        <v>25</v>
      </c>
      <c r="M73" t="str">
        <f t="shared" si="8"/>
        <v>A1</v>
      </c>
    </row>
    <row r="74" spans="1:13" x14ac:dyDescent="0.35">
      <c r="A74">
        <v>117</v>
      </c>
      <c r="B74" s="1">
        <v>45374</v>
      </c>
      <c r="C74" s="1" t="str">
        <f t="shared" si="6"/>
        <v>Mar</v>
      </c>
      <c r="D74" s="1" t="str">
        <f t="shared" si="7"/>
        <v>2024</v>
      </c>
      <c r="E74" t="s">
        <v>7</v>
      </c>
      <c r="F74" t="s">
        <v>16</v>
      </c>
      <c r="G74" t="s">
        <v>6</v>
      </c>
      <c r="H74">
        <v>527</v>
      </c>
      <c r="I74">
        <v>51168</v>
      </c>
      <c r="J74" s="2">
        <f>Table1[[#This Row],[TotalCost]]/Table1[[#This Row],[UnitsProduced]]</f>
        <v>97.092979127134726</v>
      </c>
      <c r="K74" t="s">
        <v>0</v>
      </c>
      <c r="L74">
        <v>26</v>
      </c>
      <c r="M74" t="str">
        <f t="shared" si="8"/>
        <v>A1</v>
      </c>
    </row>
    <row r="75" spans="1:13" x14ac:dyDescent="0.35">
      <c r="A75">
        <v>37</v>
      </c>
      <c r="B75" s="1">
        <v>45377</v>
      </c>
      <c r="C75" s="1" t="str">
        <f t="shared" si="6"/>
        <v>Mar</v>
      </c>
      <c r="D75" s="1" t="str">
        <f t="shared" si="7"/>
        <v>2024</v>
      </c>
      <c r="E75" t="s">
        <v>7</v>
      </c>
      <c r="F75" t="s">
        <v>17</v>
      </c>
      <c r="G75" t="s">
        <v>9</v>
      </c>
      <c r="H75">
        <v>145</v>
      </c>
      <c r="I75">
        <v>43615</v>
      </c>
      <c r="J75" s="2">
        <f>Table1[[#This Row],[TotalCost]]/Table1[[#This Row],[UnitsProduced]]</f>
        <v>300.79310344827587</v>
      </c>
      <c r="K75" t="s">
        <v>0</v>
      </c>
      <c r="L75">
        <v>49</v>
      </c>
      <c r="M75" t="str">
        <f t="shared" si="8"/>
        <v>A3</v>
      </c>
    </row>
    <row r="76" spans="1:13" x14ac:dyDescent="0.35">
      <c r="A76">
        <v>65</v>
      </c>
      <c r="B76" s="1">
        <v>45378</v>
      </c>
      <c r="C76" s="1" t="str">
        <f t="shared" si="6"/>
        <v>Mar</v>
      </c>
      <c r="D76" s="1" t="str">
        <f t="shared" si="7"/>
        <v>2024</v>
      </c>
      <c r="E76" t="s">
        <v>5</v>
      </c>
      <c r="F76" t="s">
        <v>2</v>
      </c>
      <c r="G76" t="s">
        <v>9</v>
      </c>
      <c r="H76">
        <v>495</v>
      </c>
      <c r="I76">
        <v>679</v>
      </c>
      <c r="J76" s="2">
        <f>Table1[[#This Row],[TotalCost]]/Table1[[#This Row],[UnitsProduced]]</f>
        <v>1.3717171717171717</v>
      </c>
      <c r="K76" t="s">
        <v>0</v>
      </c>
      <c r="L76">
        <v>42</v>
      </c>
      <c r="M76" t="str">
        <f t="shared" si="8"/>
        <v>A2</v>
      </c>
    </row>
    <row r="77" spans="1:13" x14ac:dyDescent="0.35">
      <c r="A77">
        <v>1</v>
      </c>
      <c r="B77" s="1">
        <v>45380</v>
      </c>
      <c r="C77" s="1" t="str">
        <f t="shared" si="6"/>
        <v>Mar</v>
      </c>
      <c r="D77" s="1" t="str">
        <f t="shared" si="7"/>
        <v>2024</v>
      </c>
      <c r="E77" t="s">
        <v>3</v>
      </c>
      <c r="F77" t="s">
        <v>14</v>
      </c>
      <c r="G77" t="s">
        <v>9</v>
      </c>
      <c r="H77">
        <v>412</v>
      </c>
      <c r="I77">
        <v>22288</v>
      </c>
      <c r="J77" s="2">
        <f>Table1[[#This Row],[TotalCost]]/Table1[[#This Row],[UnitsProduced]]</f>
        <v>54.097087378640779</v>
      </c>
      <c r="K77" t="s">
        <v>12</v>
      </c>
      <c r="L77">
        <v>25</v>
      </c>
      <c r="M77" t="str">
        <f t="shared" si="8"/>
        <v>A1</v>
      </c>
    </row>
    <row r="78" spans="1:13" x14ac:dyDescent="0.35">
      <c r="A78">
        <v>18</v>
      </c>
      <c r="B78" s="1">
        <v>45381</v>
      </c>
      <c r="C78" s="1" t="str">
        <f t="shared" si="6"/>
        <v>Mar</v>
      </c>
      <c r="D78" s="1" t="str">
        <f t="shared" si="7"/>
        <v>2024</v>
      </c>
      <c r="E78" t="s">
        <v>10</v>
      </c>
      <c r="F78" t="s">
        <v>17</v>
      </c>
      <c r="G78" t="s">
        <v>9</v>
      </c>
      <c r="H78">
        <v>363</v>
      </c>
      <c r="I78">
        <v>38232</v>
      </c>
      <c r="J78" s="2">
        <f>Table1[[#This Row],[TotalCost]]/Table1[[#This Row],[UnitsProduced]]</f>
        <v>105.32231404958678</v>
      </c>
      <c r="K78" t="s">
        <v>12</v>
      </c>
      <c r="L78">
        <v>49</v>
      </c>
      <c r="M78" t="str">
        <f t="shared" si="8"/>
        <v>A3</v>
      </c>
    </row>
    <row r="79" spans="1:13" x14ac:dyDescent="0.35">
      <c r="A79">
        <v>110</v>
      </c>
      <c r="B79" s="1">
        <v>45383</v>
      </c>
      <c r="C79" s="1" t="str">
        <f t="shared" si="6"/>
        <v>Apr</v>
      </c>
      <c r="D79" s="1" t="str">
        <f t="shared" si="7"/>
        <v>2024</v>
      </c>
      <c r="E79" t="s">
        <v>10</v>
      </c>
      <c r="F79" t="s">
        <v>18</v>
      </c>
      <c r="G79" t="s">
        <v>4</v>
      </c>
      <c r="H79">
        <v>155</v>
      </c>
      <c r="I79">
        <v>11092</v>
      </c>
      <c r="J79" s="2">
        <f>Table1[[#This Row],[TotalCost]]/Table1[[#This Row],[UnitsProduced]]</f>
        <v>71.561290322580646</v>
      </c>
      <c r="K79" t="s">
        <v>12</v>
      </c>
      <c r="L79">
        <v>52</v>
      </c>
      <c r="M79" t="str">
        <f t="shared" si="8"/>
        <v>A3</v>
      </c>
    </row>
    <row r="80" spans="1:13" x14ac:dyDescent="0.35">
      <c r="A80">
        <v>66</v>
      </c>
      <c r="B80" s="1">
        <v>45390</v>
      </c>
      <c r="C80" s="1" t="str">
        <f t="shared" si="6"/>
        <v>Apr</v>
      </c>
      <c r="D80" s="1" t="str">
        <f t="shared" si="7"/>
        <v>2024</v>
      </c>
      <c r="E80" t="s">
        <v>10</v>
      </c>
      <c r="F80" t="s">
        <v>13</v>
      </c>
      <c r="G80" t="s">
        <v>6</v>
      </c>
      <c r="H80">
        <v>190</v>
      </c>
      <c r="I80">
        <v>28050</v>
      </c>
      <c r="J80" s="2">
        <f>Table1[[#This Row],[TotalCost]]/Table1[[#This Row],[UnitsProduced]]</f>
        <v>147.63157894736841</v>
      </c>
      <c r="K80" t="s">
        <v>12</v>
      </c>
      <c r="L80">
        <v>28</v>
      </c>
      <c r="M80" t="str">
        <f t="shared" si="8"/>
        <v>A1</v>
      </c>
    </row>
    <row r="81" spans="1:13" x14ac:dyDescent="0.35">
      <c r="A81">
        <v>106</v>
      </c>
      <c r="B81" s="1">
        <v>45392</v>
      </c>
      <c r="C81" s="1" t="str">
        <f t="shared" si="6"/>
        <v>Apr</v>
      </c>
      <c r="D81" s="1" t="str">
        <f t="shared" si="7"/>
        <v>2024</v>
      </c>
      <c r="E81" t="s">
        <v>3</v>
      </c>
      <c r="F81" t="s">
        <v>2</v>
      </c>
      <c r="G81" t="s">
        <v>9</v>
      </c>
      <c r="H81">
        <v>51</v>
      </c>
      <c r="I81">
        <v>56888</v>
      </c>
      <c r="J81" s="2">
        <f>Table1[[#This Row],[TotalCost]]/Table1[[#This Row],[UnitsProduced]]</f>
        <v>1115.4509803921569</v>
      </c>
      <c r="K81" t="s">
        <v>12</v>
      </c>
      <c r="L81">
        <v>42</v>
      </c>
      <c r="M81" t="str">
        <f t="shared" si="8"/>
        <v>A2</v>
      </c>
    </row>
    <row r="82" spans="1:13" x14ac:dyDescent="0.35">
      <c r="A82">
        <v>15</v>
      </c>
      <c r="B82" s="1">
        <v>45398</v>
      </c>
      <c r="C82" s="1" t="str">
        <f t="shared" si="6"/>
        <v>Apr</v>
      </c>
      <c r="D82" s="1" t="str">
        <f t="shared" si="7"/>
        <v>2024</v>
      </c>
      <c r="E82" t="s">
        <v>7</v>
      </c>
      <c r="F82" t="s">
        <v>2</v>
      </c>
      <c r="G82" t="s">
        <v>9</v>
      </c>
      <c r="H82">
        <v>383</v>
      </c>
      <c r="I82">
        <v>39008</v>
      </c>
      <c r="J82" s="2">
        <f>Table1[[#This Row],[TotalCost]]/Table1[[#This Row],[UnitsProduced]]</f>
        <v>101.8485639686684</v>
      </c>
      <c r="K82" t="s">
        <v>19</v>
      </c>
      <c r="L82">
        <v>42</v>
      </c>
      <c r="M82" t="str">
        <f t="shared" si="8"/>
        <v>A2</v>
      </c>
    </row>
    <row r="83" spans="1:13" x14ac:dyDescent="0.35">
      <c r="A83">
        <v>41</v>
      </c>
      <c r="B83" s="1">
        <v>45407</v>
      </c>
      <c r="C83" s="1" t="str">
        <f t="shared" si="6"/>
        <v>Apr</v>
      </c>
      <c r="D83" s="1" t="str">
        <f t="shared" si="7"/>
        <v>2024</v>
      </c>
      <c r="E83" t="s">
        <v>10</v>
      </c>
      <c r="F83" t="s">
        <v>2</v>
      </c>
      <c r="G83" t="s">
        <v>1</v>
      </c>
      <c r="H83">
        <v>51</v>
      </c>
      <c r="I83">
        <v>35280</v>
      </c>
      <c r="J83" s="2">
        <f>Table1[[#This Row],[TotalCost]]/Table1[[#This Row],[UnitsProduced]]</f>
        <v>691.76470588235293</v>
      </c>
      <c r="K83" t="s">
        <v>0</v>
      </c>
      <c r="L83">
        <v>42</v>
      </c>
      <c r="M83" t="str">
        <f t="shared" si="8"/>
        <v>A2</v>
      </c>
    </row>
    <row r="84" spans="1:13" x14ac:dyDescent="0.35">
      <c r="A84">
        <v>12</v>
      </c>
      <c r="B84" s="1">
        <v>45410</v>
      </c>
      <c r="C84" s="1" t="str">
        <f t="shared" si="6"/>
        <v>Apr</v>
      </c>
      <c r="D84" s="1" t="str">
        <f t="shared" si="7"/>
        <v>2024</v>
      </c>
      <c r="E84" t="s">
        <v>10</v>
      </c>
      <c r="F84" t="s">
        <v>11</v>
      </c>
      <c r="G84" t="s">
        <v>9</v>
      </c>
      <c r="H84">
        <v>462</v>
      </c>
      <c r="I84">
        <v>26145</v>
      </c>
      <c r="J84" s="2">
        <f>Table1[[#This Row],[TotalCost]]/Table1[[#This Row],[UnitsProduced]]</f>
        <v>56.590909090909093</v>
      </c>
      <c r="K84" t="s">
        <v>19</v>
      </c>
      <c r="L84">
        <v>25</v>
      </c>
      <c r="M84" t="str">
        <f t="shared" si="8"/>
        <v>A1</v>
      </c>
    </row>
    <row r="85" spans="1:13" x14ac:dyDescent="0.35">
      <c r="A85">
        <v>107</v>
      </c>
      <c r="B85" s="1">
        <v>45412</v>
      </c>
      <c r="C85" s="1" t="str">
        <f t="shared" si="6"/>
        <v>Apr</v>
      </c>
      <c r="D85" s="1" t="str">
        <f t="shared" si="7"/>
        <v>2024</v>
      </c>
      <c r="E85" t="s">
        <v>5</v>
      </c>
      <c r="F85" t="s">
        <v>13</v>
      </c>
      <c r="G85" t="s">
        <v>4</v>
      </c>
      <c r="H85">
        <v>236</v>
      </c>
      <c r="I85">
        <v>679</v>
      </c>
      <c r="J85" s="2">
        <f>Table1[[#This Row],[TotalCost]]/Table1[[#This Row],[UnitsProduced]]</f>
        <v>2.8771186440677967</v>
      </c>
      <c r="K85" t="s">
        <v>19</v>
      </c>
      <c r="L85">
        <v>28</v>
      </c>
      <c r="M85" t="str">
        <f t="shared" si="8"/>
        <v>A1</v>
      </c>
    </row>
    <row r="86" spans="1:13" x14ac:dyDescent="0.35">
      <c r="A86">
        <v>2</v>
      </c>
      <c r="B86" s="1">
        <v>45420</v>
      </c>
      <c r="C86" s="1" t="str">
        <f t="shared" si="6"/>
        <v>May</v>
      </c>
      <c r="D86" s="1" t="str">
        <f t="shared" si="7"/>
        <v>2024</v>
      </c>
      <c r="E86" t="s">
        <v>10</v>
      </c>
      <c r="F86" t="s">
        <v>18</v>
      </c>
      <c r="G86" t="s">
        <v>1</v>
      </c>
      <c r="H86">
        <v>430</v>
      </c>
      <c r="I86">
        <v>66500</v>
      </c>
      <c r="J86" s="2">
        <f>Table1[[#This Row],[TotalCost]]/Table1[[#This Row],[UnitsProduced]]</f>
        <v>154.65116279069767</v>
      </c>
      <c r="K86" t="s">
        <v>12</v>
      </c>
      <c r="L86">
        <v>52</v>
      </c>
      <c r="M86" t="str">
        <f t="shared" si="8"/>
        <v>A3</v>
      </c>
    </row>
    <row r="87" spans="1:13" x14ac:dyDescent="0.35">
      <c r="A87">
        <v>33</v>
      </c>
      <c r="B87" s="1">
        <v>45422</v>
      </c>
      <c r="C87" s="1" t="str">
        <f t="shared" si="6"/>
        <v>May</v>
      </c>
      <c r="D87" s="1" t="str">
        <f t="shared" si="7"/>
        <v>2024</v>
      </c>
      <c r="E87" t="s">
        <v>5</v>
      </c>
      <c r="F87" t="s">
        <v>11</v>
      </c>
      <c r="G87" t="s">
        <v>6</v>
      </c>
      <c r="H87">
        <v>511</v>
      </c>
      <c r="I87">
        <v>679</v>
      </c>
      <c r="J87" s="2">
        <f>Table1[[#This Row],[TotalCost]]/Table1[[#This Row],[UnitsProduced]]</f>
        <v>1.3287671232876712</v>
      </c>
      <c r="K87" t="s">
        <v>12</v>
      </c>
      <c r="L87">
        <v>25</v>
      </c>
      <c r="M87" t="str">
        <f t="shared" si="8"/>
        <v>A1</v>
      </c>
    </row>
    <row r="88" spans="1:13" x14ac:dyDescent="0.35">
      <c r="A88">
        <v>42</v>
      </c>
      <c r="B88" s="1">
        <v>45424</v>
      </c>
      <c r="C88" s="1" t="str">
        <f t="shared" si="6"/>
        <v>May</v>
      </c>
      <c r="D88" s="1" t="str">
        <f t="shared" si="7"/>
        <v>2024</v>
      </c>
      <c r="E88" t="s">
        <v>7</v>
      </c>
      <c r="F88" t="s">
        <v>2</v>
      </c>
      <c r="G88" t="s">
        <v>9</v>
      </c>
      <c r="H88">
        <v>382</v>
      </c>
      <c r="I88">
        <v>37490</v>
      </c>
      <c r="J88" s="2">
        <f>Table1[[#This Row],[TotalCost]]/Table1[[#This Row],[UnitsProduced]]</f>
        <v>98.141361256544499</v>
      </c>
      <c r="K88" t="s">
        <v>0</v>
      </c>
      <c r="L88">
        <v>42</v>
      </c>
      <c r="M88" t="str">
        <f t="shared" si="8"/>
        <v>A2</v>
      </c>
    </row>
    <row r="89" spans="1:13" x14ac:dyDescent="0.35">
      <c r="A89">
        <v>94</v>
      </c>
      <c r="B89" s="1">
        <v>45427</v>
      </c>
      <c r="C89" s="1" t="str">
        <f t="shared" si="6"/>
        <v>May</v>
      </c>
      <c r="D89" s="1" t="str">
        <f t="shared" si="7"/>
        <v>2024</v>
      </c>
      <c r="E89" t="s">
        <v>7</v>
      </c>
      <c r="F89" t="s">
        <v>11</v>
      </c>
      <c r="G89" t="s">
        <v>9</v>
      </c>
      <c r="H89">
        <v>173</v>
      </c>
      <c r="I89">
        <v>24549</v>
      </c>
      <c r="J89" s="2">
        <f>Table1[[#This Row],[TotalCost]]/Table1[[#This Row],[UnitsProduced]]</f>
        <v>141.90173410404626</v>
      </c>
      <c r="K89" t="s">
        <v>0</v>
      </c>
      <c r="L89">
        <v>25</v>
      </c>
      <c r="M89" t="str">
        <f t="shared" si="8"/>
        <v>A1</v>
      </c>
    </row>
    <row r="90" spans="1:13" x14ac:dyDescent="0.35">
      <c r="A90">
        <v>64</v>
      </c>
      <c r="B90" s="1">
        <v>45432</v>
      </c>
      <c r="C90" s="1" t="str">
        <f t="shared" si="6"/>
        <v>May</v>
      </c>
      <c r="D90" s="1" t="str">
        <f t="shared" si="7"/>
        <v>2024</v>
      </c>
      <c r="E90" t="s">
        <v>10</v>
      </c>
      <c r="F90" t="s">
        <v>14</v>
      </c>
      <c r="G90" t="s">
        <v>6</v>
      </c>
      <c r="H90">
        <v>188</v>
      </c>
      <c r="I90">
        <v>679</v>
      </c>
      <c r="J90" s="2">
        <f>Table1[[#This Row],[TotalCost]]/Table1[[#This Row],[UnitsProduced]]</f>
        <v>3.6117021276595747</v>
      </c>
      <c r="K90" t="s">
        <v>12</v>
      </c>
      <c r="L90">
        <v>25</v>
      </c>
      <c r="M90" t="str">
        <f t="shared" si="8"/>
        <v>A1</v>
      </c>
    </row>
    <row r="91" spans="1:13" x14ac:dyDescent="0.35">
      <c r="A91">
        <v>91</v>
      </c>
      <c r="B91" s="1">
        <v>45444</v>
      </c>
      <c r="C91" s="1" t="str">
        <f t="shared" si="6"/>
        <v>Jun</v>
      </c>
      <c r="D91" s="1" t="str">
        <f t="shared" si="7"/>
        <v>2024</v>
      </c>
      <c r="E91" t="s">
        <v>7</v>
      </c>
      <c r="F91" t="s">
        <v>2</v>
      </c>
      <c r="G91" t="s">
        <v>4</v>
      </c>
      <c r="H91">
        <v>386</v>
      </c>
      <c r="I91">
        <v>47952</v>
      </c>
      <c r="J91" s="2">
        <f>Table1[[#This Row],[TotalCost]]/Table1[[#This Row],[UnitsProduced]]</f>
        <v>124.2279792746114</v>
      </c>
      <c r="K91" t="s">
        <v>0</v>
      </c>
      <c r="L91">
        <v>42</v>
      </c>
      <c r="M91" t="str">
        <f t="shared" si="8"/>
        <v>A2</v>
      </c>
    </row>
    <row r="92" spans="1:13" x14ac:dyDescent="0.35">
      <c r="A92">
        <v>5</v>
      </c>
      <c r="B92" s="1">
        <v>45449</v>
      </c>
      <c r="C92" s="1" t="str">
        <f t="shared" si="6"/>
        <v>Jun</v>
      </c>
      <c r="D92" s="1" t="str">
        <f t="shared" si="7"/>
        <v>2024</v>
      </c>
      <c r="E92" t="s">
        <v>3</v>
      </c>
      <c r="F92" t="s">
        <v>16</v>
      </c>
      <c r="G92" t="s">
        <v>4</v>
      </c>
      <c r="H92">
        <v>178</v>
      </c>
      <c r="I92">
        <v>41349</v>
      </c>
      <c r="J92" s="2">
        <f>Table1[[#This Row],[TotalCost]]/Table1[[#This Row],[UnitsProduced]]</f>
        <v>232.29775280898878</v>
      </c>
      <c r="K92" t="s">
        <v>0</v>
      </c>
      <c r="L92">
        <v>26</v>
      </c>
      <c r="M92" t="str">
        <f t="shared" si="8"/>
        <v>A1</v>
      </c>
    </row>
    <row r="93" spans="1:13" x14ac:dyDescent="0.35">
      <c r="A93">
        <v>44</v>
      </c>
      <c r="B93" s="1">
        <v>45451</v>
      </c>
      <c r="C93" s="1" t="str">
        <f t="shared" si="6"/>
        <v>Jun</v>
      </c>
      <c r="D93" s="1" t="str">
        <f t="shared" si="7"/>
        <v>2024</v>
      </c>
      <c r="E93" t="s">
        <v>5</v>
      </c>
      <c r="F93" t="s">
        <v>18</v>
      </c>
      <c r="G93" t="s">
        <v>1</v>
      </c>
      <c r="H93">
        <v>368</v>
      </c>
      <c r="I93">
        <v>46068</v>
      </c>
      <c r="J93" s="2">
        <f>Table1[[#This Row],[TotalCost]]/Table1[[#This Row],[UnitsProduced]]</f>
        <v>125.18478260869566</v>
      </c>
      <c r="K93" t="s">
        <v>12</v>
      </c>
      <c r="L93">
        <v>52</v>
      </c>
      <c r="M93" t="str">
        <f t="shared" si="8"/>
        <v>A3</v>
      </c>
    </row>
    <row r="94" spans="1:13" x14ac:dyDescent="0.35">
      <c r="A94">
        <v>59</v>
      </c>
      <c r="B94" s="1">
        <v>45453</v>
      </c>
      <c r="C94" s="1" t="str">
        <f t="shared" si="6"/>
        <v>Jun</v>
      </c>
      <c r="D94" s="1" t="str">
        <f t="shared" si="7"/>
        <v>2024</v>
      </c>
      <c r="E94" t="s">
        <v>7</v>
      </c>
      <c r="F94" t="s">
        <v>14</v>
      </c>
      <c r="G94" t="s">
        <v>6</v>
      </c>
      <c r="H94">
        <v>322</v>
      </c>
      <c r="I94">
        <v>29440</v>
      </c>
      <c r="J94" s="2">
        <f>Table1[[#This Row],[TotalCost]]/Table1[[#This Row],[UnitsProduced]]</f>
        <v>91.428571428571431</v>
      </c>
      <c r="K94" t="s">
        <v>0</v>
      </c>
      <c r="L94">
        <v>25</v>
      </c>
      <c r="M94" t="str">
        <f t="shared" si="8"/>
        <v>A1</v>
      </c>
    </row>
    <row r="95" spans="1:13" x14ac:dyDescent="0.35">
      <c r="A95">
        <v>82</v>
      </c>
      <c r="B95" s="1">
        <v>45457</v>
      </c>
      <c r="C95" s="1" t="str">
        <f t="shared" si="6"/>
        <v>Jun</v>
      </c>
      <c r="D95" s="1" t="str">
        <f t="shared" si="7"/>
        <v>2024</v>
      </c>
      <c r="E95" t="s">
        <v>5</v>
      </c>
      <c r="F95" t="s">
        <v>14</v>
      </c>
      <c r="G95" t="s">
        <v>1</v>
      </c>
      <c r="H95">
        <v>130</v>
      </c>
      <c r="I95">
        <v>16740</v>
      </c>
      <c r="J95" s="2">
        <f>Table1[[#This Row],[TotalCost]]/Table1[[#This Row],[UnitsProduced]]</f>
        <v>128.76923076923077</v>
      </c>
      <c r="K95" t="s">
        <v>12</v>
      </c>
      <c r="L95">
        <v>25</v>
      </c>
      <c r="M95" t="str">
        <f t="shared" si="8"/>
        <v>A1</v>
      </c>
    </row>
    <row r="96" spans="1:13" x14ac:dyDescent="0.35">
      <c r="A96">
        <v>45</v>
      </c>
      <c r="B96" s="1">
        <v>45458</v>
      </c>
      <c r="C96" s="1" t="str">
        <f t="shared" si="6"/>
        <v>Jun</v>
      </c>
      <c r="D96" s="1" t="str">
        <f t="shared" si="7"/>
        <v>2024</v>
      </c>
      <c r="E96" t="s">
        <v>10</v>
      </c>
      <c r="F96" t="s">
        <v>8</v>
      </c>
      <c r="G96" t="s">
        <v>6</v>
      </c>
      <c r="H96">
        <v>79</v>
      </c>
      <c r="I96">
        <v>11078</v>
      </c>
      <c r="J96" s="2">
        <f>Table1[[#This Row],[TotalCost]]/Table1[[#This Row],[UnitsProduced]]</f>
        <v>140.22784810126583</v>
      </c>
      <c r="K96" t="s">
        <v>12</v>
      </c>
      <c r="L96">
        <v>36</v>
      </c>
      <c r="M96" t="str">
        <f t="shared" si="8"/>
        <v>A2</v>
      </c>
    </row>
    <row r="97" spans="1:13" x14ac:dyDescent="0.35">
      <c r="A97">
        <v>99</v>
      </c>
      <c r="B97" s="1">
        <v>45464</v>
      </c>
      <c r="C97" s="1" t="str">
        <f t="shared" si="6"/>
        <v>Jun</v>
      </c>
      <c r="D97" s="1" t="str">
        <f t="shared" si="7"/>
        <v>2024</v>
      </c>
      <c r="E97" t="s">
        <v>10</v>
      </c>
      <c r="F97" t="s">
        <v>2</v>
      </c>
      <c r="G97" t="s">
        <v>6</v>
      </c>
      <c r="H97">
        <v>216</v>
      </c>
      <c r="I97">
        <v>36934</v>
      </c>
      <c r="J97" s="2">
        <f>Table1[[#This Row],[TotalCost]]/Table1[[#This Row],[UnitsProduced]]</f>
        <v>170.99074074074073</v>
      </c>
      <c r="K97" t="s">
        <v>12</v>
      </c>
      <c r="L97">
        <v>42</v>
      </c>
      <c r="M97" t="str">
        <f t="shared" si="8"/>
        <v>A2</v>
      </c>
    </row>
    <row r="98" spans="1:13" x14ac:dyDescent="0.35">
      <c r="A98">
        <v>14</v>
      </c>
      <c r="B98" s="1">
        <v>45465</v>
      </c>
      <c r="C98" s="1" t="str">
        <f t="shared" ref="C98:C129" si="9">TEXT(B98,"mmm")</f>
        <v>Jun</v>
      </c>
      <c r="D98" s="1" t="str">
        <f t="shared" ref="D98:D121" si="10">TEXT(B98,"YYYY")</f>
        <v>2024</v>
      </c>
      <c r="E98" t="s">
        <v>3</v>
      </c>
      <c r="F98" t="s">
        <v>16</v>
      </c>
      <c r="G98" t="s">
        <v>9</v>
      </c>
      <c r="H98">
        <v>332</v>
      </c>
      <c r="I98">
        <v>679</v>
      </c>
      <c r="J98" s="2">
        <f>Table1[[#This Row],[TotalCost]]/Table1[[#This Row],[UnitsProduced]]</f>
        <v>2.0451807228915664</v>
      </c>
      <c r="K98" t="s">
        <v>12</v>
      </c>
      <c r="L98">
        <v>26</v>
      </c>
      <c r="M98" t="str">
        <f t="shared" ref="M98:M121" si="11">IF(L98&lt;=35,"A1",IF(L98&lt;=45,"A2","A3"))</f>
        <v>A1</v>
      </c>
    </row>
    <row r="99" spans="1:13" x14ac:dyDescent="0.35">
      <c r="A99">
        <v>38</v>
      </c>
      <c r="B99" s="1">
        <v>45467</v>
      </c>
      <c r="C99" s="1" t="str">
        <f t="shared" si="9"/>
        <v>Jun</v>
      </c>
      <c r="D99" s="1" t="str">
        <f t="shared" si="10"/>
        <v>2024</v>
      </c>
      <c r="E99" t="s">
        <v>10</v>
      </c>
      <c r="F99" t="s">
        <v>2</v>
      </c>
      <c r="G99" t="s">
        <v>6</v>
      </c>
      <c r="H99">
        <v>115</v>
      </c>
      <c r="I99">
        <v>14076</v>
      </c>
      <c r="J99" s="2">
        <f>Table1[[#This Row],[TotalCost]]/Table1[[#This Row],[UnitsProduced]]</f>
        <v>122.4</v>
      </c>
      <c r="K99" t="s">
        <v>12</v>
      </c>
      <c r="L99">
        <v>42</v>
      </c>
      <c r="M99" t="str">
        <f t="shared" si="11"/>
        <v>A2</v>
      </c>
    </row>
    <row r="100" spans="1:13" x14ac:dyDescent="0.35">
      <c r="A100">
        <v>19</v>
      </c>
      <c r="B100" s="1">
        <v>45469</v>
      </c>
      <c r="C100" s="1" t="str">
        <f t="shared" si="9"/>
        <v>Jun</v>
      </c>
      <c r="D100" s="1" t="str">
        <f t="shared" si="10"/>
        <v>2024</v>
      </c>
      <c r="E100" t="s">
        <v>10</v>
      </c>
      <c r="F100" t="s">
        <v>17</v>
      </c>
      <c r="G100" t="s">
        <v>9</v>
      </c>
      <c r="H100">
        <v>443</v>
      </c>
      <c r="I100">
        <v>50652</v>
      </c>
      <c r="J100" s="2">
        <f>Table1[[#This Row],[TotalCost]]/Table1[[#This Row],[UnitsProduced]]</f>
        <v>114.33860045146727</v>
      </c>
      <c r="K100" t="s">
        <v>0</v>
      </c>
      <c r="L100">
        <v>49</v>
      </c>
      <c r="M100" t="str">
        <f t="shared" si="11"/>
        <v>A3</v>
      </c>
    </row>
    <row r="101" spans="1:13" x14ac:dyDescent="0.35">
      <c r="A101">
        <v>78</v>
      </c>
      <c r="B101" s="1">
        <v>45469</v>
      </c>
      <c r="C101" s="1" t="str">
        <f t="shared" si="9"/>
        <v>Jun</v>
      </c>
      <c r="D101" s="1" t="str">
        <f t="shared" si="10"/>
        <v>2024</v>
      </c>
      <c r="E101" t="s">
        <v>3</v>
      </c>
      <c r="F101" t="s">
        <v>16</v>
      </c>
      <c r="G101" t="s">
        <v>9</v>
      </c>
      <c r="H101">
        <v>465</v>
      </c>
      <c r="I101">
        <v>679</v>
      </c>
      <c r="J101" s="2">
        <f>Table1[[#This Row],[TotalCost]]/Table1[[#This Row],[UnitsProduced]]</f>
        <v>1.4602150537634409</v>
      </c>
      <c r="K101" t="s">
        <v>12</v>
      </c>
      <c r="L101">
        <v>26</v>
      </c>
      <c r="M101" t="str">
        <f t="shared" si="11"/>
        <v>A1</v>
      </c>
    </row>
    <row r="102" spans="1:13" x14ac:dyDescent="0.35">
      <c r="A102">
        <v>7</v>
      </c>
      <c r="B102" s="1">
        <v>45472</v>
      </c>
      <c r="C102" s="1" t="str">
        <f t="shared" si="9"/>
        <v>Jun</v>
      </c>
      <c r="D102" s="1" t="str">
        <f t="shared" si="10"/>
        <v>2024</v>
      </c>
      <c r="E102" t="s">
        <v>10</v>
      </c>
      <c r="F102" t="s">
        <v>13</v>
      </c>
      <c r="G102" t="s">
        <v>4</v>
      </c>
      <c r="H102">
        <v>68</v>
      </c>
      <c r="I102">
        <v>11696</v>
      </c>
      <c r="J102" s="2">
        <f>Table1[[#This Row],[TotalCost]]/Table1[[#This Row],[UnitsProduced]]</f>
        <v>172</v>
      </c>
      <c r="K102" t="s">
        <v>0</v>
      </c>
      <c r="L102">
        <v>28</v>
      </c>
      <c r="M102" t="str">
        <f t="shared" si="11"/>
        <v>A1</v>
      </c>
    </row>
    <row r="103" spans="1:13" x14ac:dyDescent="0.35">
      <c r="A103">
        <v>13</v>
      </c>
      <c r="B103" s="1">
        <v>45472</v>
      </c>
      <c r="C103" s="1" t="str">
        <f t="shared" si="9"/>
        <v>Jun</v>
      </c>
      <c r="D103" s="1" t="str">
        <f t="shared" si="10"/>
        <v>2024</v>
      </c>
      <c r="E103" t="s">
        <v>7</v>
      </c>
      <c r="F103" t="s">
        <v>14</v>
      </c>
      <c r="G103" t="s">
        <v>6</v>
      </c>
      <c r="H103">
        <v>435</v>
      </c>
      <c r="I103">
        <v>64090</v>
      </c>
      <c r="J103" s="2">
        <f>Table1[[#This Row],[TotalCost]]/Table1[[#This Row],[UnitsProduced]]</f>
        <v>147.33333333333334</v>
      </c>
      <c r="K103" t="s">
        <v>12</v>
      </c>
      <c r="L103">
        <v>25</v>
      </c>
      <c r="M103" t="str">
        <f t="shared" si="11"/>
        <v>A1</v>
      </c>
    </row>
    <row r="104" spans="1:13" x14ac:dyDescent="0.35">
      <c r="A104">
        <v>77</v>
      </c>
      <c r="B104" s="1">
        <v>45478</v>
      </c>
      <c r="C104" s="1" t="str">
        <f t="shared" si="9"/>
        <v>Jul</v>
      </c>
      <c r="D104" s="1" t="str">
        <f t="shared" si="10"/>
        <v>2024</v>
      </c>
      <c r="E104" t="s">
        <v>10</v>
      </c>
      <c r="F104" t="s">
        <v>2</v>
      </c>
      <c r="G104" t="s">
        <v>1</v>
      </c>
      <c r="H104">
        <v>115</v>
      </c>
      <c r="I104">
        <v>34804</v>
      </c>
      <c r="J104" s="2">
        <f>Table1[[#This Row],[TotalCost]]/Table1[[#This Row],[UnitsProduced]]</f>
        <v>302.64347826086959</v>
      </c>
      <c r="K104" t="s">
        <v>12</v>
      </c>
      <c r="L104">
        <v>42</v>
      </c>
      <c r="M104" t="str">
        <f t="shared" si="11"/>
        <v>A2</v>
      </c>
    </row>
    <row r="105" spans="1:13" x14ac:dyDescent="0.35">
      <c r="A105">
        <v>39</v>
      </c>
      <c r="B105" s="1">
        <v>45489</v>
      </c>
      <c r="C105" s="1" t="str">
        <f t="shared" si="9"/>
        <v>Jul</v>
      </c>
      <c r="D105" s="1" t="str">
        <f t="shared" si="10"/>
        <v>2024</v>
      </c>
      <c r="E105" t="s">
        <v>7</v>
      </c>
      <c r="F105" t="s">
        <v>8</v>
      </c>
      <c r="G105" t="s">
        <v>9</v>
      </c>
      <c r="H105">
        <v>248</v>
      </c>
      <c r="I105">
        <v>12870</v>
      </c>
      <c r="J105" s="2">
        <f>Table1[[#This Row],[TotalCost]]/Table1[[#This Row],[UnitsProduced]]</f>
        <v>51.895161290322584</v>
      </c>
      <c r="K105" t="s">
        <v>12</v>
      </c>
      <c r="L105">
        <v>36</v>
      </c>
      <c r="M105" t="str">
        <f t="shared" si="11"/>
        <v>A2</v>
      </c>
    </row>
    <row r="106" spans="1:13" x14ac:dyDescent="0.35">
      <c r="A106">
        <v>102</v>
      </c>
      <c r="B106" s="1">
        <v>45497</v>
      </c>
      <c r="C106" s="1" t="str">
        <f t="shared" si="9"/>
        <v>Jul</v>
      </c>
      <c r="D106" s="1" t="str">
        <f t="shared" si="10"/>
        <v>2024</v>
      </c>
      <c r="E106" t="s">
        <v>5</v>
      </c>
      <c r="F106" t="s">
        <v>16</v>
      </c>
      <c r="G106" t="s">
        <v>9</v>
      </c>
      <c r="H106">
        <v>376</v>
      </c>
      <c r="I106">
        <v>679</v>
      </c>
      <c r="J106" s="2">
        <f>Table1[[#This Row],[TotalCost]]/Table1[[#This Row],[UnitsProduced]]</f>
        <v>1.8058510638297873</v>
      </c>
      <c r="K106" t="s">
        <v>12</v>
      </c>
      <c r="L106">
        <v>26</v>
      </c>
      <c r="M106" t="str">
        <f t="shared" si="11"/>
        <v>A1</v>
      </c>
    </row>
    <row r="107" spans="1:13" x14ac:dyDescent="0.35">
      <c r="A107">
        <v>111</v>
      </c>
      <c r="B107" s="1">
        <v>45497</v>
      </c>
      <c r="C107" s="1" t="str">
        <f t="shared" si="9"/>
        <v>Jul</v>
      </c>
      <c r="D107" s="1" t="str">
        <f t="shared" si="10"/>
        <v>2024</v>
      </c>
      <c r="E107" t="s">
        <v>7</v>
      </c>
      <c r="F107" t="s">
        <v>16</v>
      </c>
      <c r="G107" t="s">
        <v>6</v>
      </c>
      <c r="H107">
        <v>319</v>
      </c>
      <c r="I107">
        <v>4221</v>
      </c>
      <c r="J107" s="2">
        <f>Table1[[#This Row],[TotalCost]]/Table1[[#This Row],[UnitsProduced]]</f>
        <v>13.231974921630094</v>
      </c>
      <c r="K107" t="s">
        <v>0</v>
      </c>
      <c r="L107">
        <v>26</v>
      </c>
      <c r="M107" t="str">
        <f t="shared" si="11"/>
        <v>A1</v>
      </c>
    </row>
    <row r="108" spans="1:13" x14ac:dyDescent="0.35">
      <c r="A108">
        <v>3</v>
      </c>
      <c r="B108" s="1">
        <v>45504</v>
      </c>
      <c r="C108" s="1" t="str">
        <f t="shared" si="9"/>
        <v>Jul</v>
      </c>
      <c r="D108" s="1" t="str">
        <f t="shared" si="10"/>
        <v>2024</v>
      </c>
      <c r="E108" t="s">
        <v>7</v>
      </c>
      <c r="F108" t="s">
        <v>8</v>
      </c>
      <c r="G108" t="s">
        <v>4</v>
      </c>
      <c r="H108">
        <v>478</v>
      </c>
      <c r="I108">
        <v>76076</v>
      </c>
      <c r="J108" s="2">
        <f>Table1[[#This Row],[TotalCost]]/Table1[[#This Row],[UnitsProduced]]</f>
        <v>159.15481171548117</v>
      </c>
      <c r="K108" t="s">
        <v>0</v>
      </c>
      <c r="L108">
        <v>36</v>
      </c>
      <c r="M108" t="str">
        <f t="shared" si="11"/>
        <v>A2</v>
      </c>
    </row>
    <row r="109" spans="1:13" x14ac:dyDescent="0.35">
      <c r="A109">
        <v>73</v>
      </c>
      <c r="B109" s="1">
        <v>45506</v>
      </c>
      <c r="C109" s="1" t="str">
        <f t="shared" si="9"/>
        <v>Aug</v>
      </c>
      <c r="D109" s="1" t="str">
        <f t="shared" si="10"/>
        <v>2024</v>
      </c>
      <c r="E109" t="s">
        <v>10</v>
      </c>
      <c r="F109" t="s">
        <v>2</v>
      </c>
      <c r="G109" t="s">
        <v>4</v>
      </c>
      <c r="H109">
        <v>265</v>
      </c>
      <c r="I109">
        <v>12320</v>
      </c>
      <c r="J109" s="2">
        <f>Table1[[#This Row],[TotalCost]]/Table1[[#This Row],[UnitsProduced]]</f>
        <v>46.490566037735846</v>
      </c>
      <c r="K109" t="s">
        <v>12</v>
      </c>
      <c r="L109">
        <v>42</v>
      </c>
      <c r="M109" t="str">
        <f t="shared" si="11"/>
        <v>A2</v>
      </c>
    </row>
    <row r="110" spans="1:13" x14ac:dyDescent="0.35">
      <c r="A110">
        <v>10</v>
      </c>
      <c r="B110" s="1">
        <v>45508</v>
      </c>
      <c r="C110" s="1" t="str">
        <f t="shared" si="9"/>
        <v>Aug</v>
      </c>
      <c r="D110" s="1" t="str">
        <f t="shared" si="10"/>
        <v>2024</v>
      </c>
      <c r="E110" t="s">
        <v>10</v>
      </c>
      <c r="F110" t="s">
        <v>2</v>
      </c>
      <c r="G110" t="s">
        <v>9</v>
      </c>
      <c r="H110">
        <v>396</v>
      </c>
      <c r="I110">
        <v>38480</v>
      </c>
      <c r="J110" s="2">
        <f>Table1[[#This Row],[TotalCost]]/Table1[[#This Row],[UnitsProduced]]</f>
        <v>97.171717171717177</v>
      </c>
      <c r="K110" t="s">
        <v>12</v>
      </c>
      <c r="L110">
        <v>42</v>
      </c>
      <c r="M110" t="str">
        <f t="shared" si="11"/>
        <v>A2</v>
      </c>
    </row>
    <row r="111" spans="1:13" x14ac:dyDescent="0.35">
      <c r="A111">
        <v>54</v>
      </c>
      <c r="B111" s="1">
        <v>45510</v>
      </c>
      <c r="C111" s="1" t="str">
        <f t="shared" si="9"/>
        <v>Aug</v>
      </c>
      <c r="D111" s="1" t="str">
        <f t="shared" si="10"/>
        <v>2024</v>
      </c>
      <c r="E111" t="s">
        <v>10</v>
      </c>
      <c r="F111" t="s">
        <v>15</v>
      </c>
      <c r="G111" t="s">
        <v>9</v>
      </c>
      <c r="H111">
        <v>429</v>
      </c>
      <c r="I111">
        <v>58208</v>
      </c>
      <c r="J111" s="2">
        <f>Table1[[#This Row],[TotalCost]]/Table1[[#This Row],[UnitsProduced]]</f>
        <v>135.68298368298369</v>
      </c>
      <c r="K111" t="s">
        <v>0</v>
      </c>
      <c r="L111">
        <v>28</v>
      </c>
      <c r="M111" t="str">
        <f t="shared" si="11"/>
        <v>A1</v>
      </c>
    </row>
    <row r="112" spans="1:13" x14ac:dyDescent="0.35">
      <c r="A112">
        <v>63</v>
      </c>
      <c r="B112" s="1">
        <v>45510</v>
      </c>
      <c r="C112" s="1" t="str">
        <f t="shared" si="9"/>
        <v>Aug</v>
      </c>
      <c r="D112" s="1" t="str">
        <f t="shared" si="10"/>
        <v>2024</v>
      </c>
      <c r="E112" t="s">
        <v>5</v>
      </c>
      <c r="F112" t="s">
        <v>14</v>
      </c>
      <c r="G112" t="s">
        <v>9</v>
      </c>
      <c r="H112">
        <v>305</v>
      </c>
      <c r="I112">
        <v>3186</v>
      </c>
      <c r="J112" s="2">
        <f>Table1[[#This Row],[TotalCost]]/Table1[[#This Row],[UnitsProduced]]</f>
        <v>10.445901639344262</v>
      </c>
      <c r="K112" t="s">
        <v>12</v>
      </c>
      <c r="L112">
        <v>25</v>
      </c>
      <c r="M112" t="str">
        <f t="shared" si="11"/>
        <v>A1</v>
      </c>
    </row>
    <row r="113" spans="1:13" x14ac:dyDescent="0.35">
      <c r="A113">
        <v>27</v>
      </c>
      <c r="B113" s="1">
        <v>45511</v>
      </c>
      <c r="C113" s="1" t="str">
        <f t="shared" si="9"/>
        <v>Aug</v>
      </c>
      <c r="D113" s="1" t="str">
        <f t="shared" si="10"/>
        <v>2024</v>
      </c>
      <c r="E113" t="s">
        <v>10</v>
      </c>
      <c r="F113" t="s">
        <v>2</v>
      </c>
      <c r="G113" t="s">
        <v>6</v>
      </c>
      <c r="H113">
        <v>422</v>
      </c>
      <c r="I113">
        <v>13490</v>
      </c>
      <c r="J113" s="2">
        <f>Table1[[#This Row],[TotalCost]]/Table1[[#This Row],[UnitsProduced]]</f>
        <v>31.966824644549764</v>
      </c>
      <c r="K113" t="s">
        <v>12</v>
      </c>
      <c r="L113">
        <v>42</v>
      </c>
      <c r="M113" t="str">
        <f t="shared" si="11"/>
        <v>A2</v>
      </c>
    </row>
    <row r="114" spans="1:13" x14ac:dyDescent="0.35">
      <c r="A114">
        <v>23</v>
      </c>
      <c r="B114" s="1">
        <v>45520</v>
      </c>
      <c r="C114" s="1" t="str">
        <f t="shared" si="9"/>
        <v>Aug</v>
      </c>
      <c r="D114" s="1" t="str">
        <f t="shared" si="10"/>
        <v>2024</v>
      </c>
      <c r="E114" t="s">
        <v>7</v>
      </c>
      <c r="F114" t="s">
        <v>13</v>
      </c>
      <c r="G114" t="s">
        <v>9</v>
      </c>
      <c r="H114">
        <v>90</v>
      </c>
      <c r="I114">
        <v>42328</v>
      </c>
      <c r="J114" s="2">
        <f>Table1[[#This Row],[TotalCost]]/Table1[[#This Row],[UnitsProduced]]</f>
        <v>470.31111111111113</v>
      </c>
      <c r="K114" t="s">
        <v>12</v>
      </c>
      <c r="L114">
        <v>28</v>
      </c>
      <c r="M114" t="str">
        <f t="shared" si="11"/>
        <v>A1</v>
      </c>
    </row>
    <row r="115" spans="1:13" x14ac:dyDescent="0.35">
      <c r="A115">
        <v>95</v>
      </c>
      <c r="B115" s="1">
        <v>45521</v>
      </c>
      <c r="C115" s="1" t="str">
        <f t="shared" si="9"/>
        <v>Aug</v>
      </c>
      <c r="D115" s="1" t="str">
        <f t="shared" si="10"/>
        <v>2024</v>
      </c>
      <c r="E115" t="s">
        <v>7</v>
      </c>
      <c r="F115" t="s">
        <v>2</v>
      </c>
      <c r="G115" t="s">
        <v>1</v>
      </c>
      <c r="H115">
        <v>306</v>
      </c>
      <c r="I115">
        <v>679</v>
      </c>
      <c r="J115" s="2">
        <f>Table1[[#This Row],[TotalCost]]/Table1[[#This Row],[UnitsProduced]]</f>
        <v>2.2189542483660132</v>
      </c>
      <c r="K115" t="s">
        <v>12</v>
      </c>
      <c r="L115">
        <v>42</v>
      </c>
      <c r="M115" t="str">
        <f t="shared" si="11"/>
        <v>A2</v>
      </c>
    </row>
    <row r="116" spans="1:13" x14ac:dyDescent="0.35">
      <c r="A116">
        <v>112</v>
      </c>
      <c r="B116" s="1">
        <v>45527</v>
      </c>
      <c r="C116" s="1" t="str">
        <f t="shared" si="9"/>
        <v>Aug</v>
      </c>
      <c r="D116" s="1" t="str">
        <f t="shared" si="10"/>
        <v>2024</v>
      </c>
      <c r="E116" t="s">
        <v>5</v>
      </c>
      <c r="F116" t="s">
        <v>11</v>
      </c>
      <c r="G116" t="s">
        <v>9</v>
      </c>
      <c r="H116">
        <v>62</v>
      </c>
      <c r="I116">
        <v>31500</v>
      </c>
      <c r="J116" s="2">
        <f>Table1[[#This Row],[TotalCost]]/Table1[[#This Row],[UnitsProduced]]</f>
        <v>508.06451612903226</v>
      </c>
      <c r="K116" t="s">
        <v>0</v>
      </c>
      <c r="L116">
        <v>25</v>
      </c>
      <c r="M116" t="str">
        <f t="shared" si="11"/>
        <v>A1</v>
      </c>
    </row>
    <row r="117" spans="1:13" x14ac:dyDescent="0.35">
      <c r="A117">
        <v>26</v>
      </c>
      <c r="B117" s="1">
        <v>45530</v>
      </c>
      <c r="C117" s="1" t="str">
        <f t="shared" si="9"/>
        <v>Aug</v>
      </c>
      <c r="D117" s="1" t="str">
        <f t="shared" si="10"/>
        <v>2024</v>
      </c>
      <c r="E117" t="s">
        <v>10</v>
      </c>
      <c r="F117" t="s">
        <v>2</v>
      </c>
      <c r="G117" t="s">
        <v>9</v>
      </c>
      <c r="H117">
        <v>406</v>
      </c>
      <c r="I117">
        <v>47880</v>
      </c>
      <c r="J117" s="2">
        <f>Table1[[#This Row],[TotalCost]]/Table1[[#This Row],[UnitsProduced]]</f>
        <v>117.93103448275862</v>
      </c>
      <c r="K117" t="s">
        <v>0</v>
      </c>
      <c r="L117">
        <v>42</v>
      </c>
      <c r="M117" t="str">
        <f t="shared" si="11"/>
        <v>A2</v>
      </c>
    </row>
    <row r="118" spans="1:13" x14ac:dyDescent="0.35">
      <c r="A118">
        <v>69</v>
      </c>
      <c r="B118" s="1">
        <v>45532</v>
      </c>
      <c r="C118" s="1" t="str">
        <f t="shared" si="9"/>
        <v>Aug</v>
      </c>
      <c r="D118" s="1" t="str">
        <f t="shared" si="10"/>
        <v>2024</v>
      </c>
      <c r="E118" t="s">
        <v>5</v>
      </c>
      <c r="F118" t="s">
        <v>8</v>
      </c>
      <c r="G118" t="s">
        <v>1</v>
      </c>
      <c r="H118">
        <v>183</v>
      </c>
      <c r="I118">
        <v>679</v>
      </c>
      <c r="J118" s="2">
        <f>Table1[[#This Row],[TotalCost]]/Table1[[#This Row],[UnitsProduced]]</f>
        <v>3.7103825136612021</v>
      </c>
      <c r="K118" t="s">
        <v>0</v>
      </c>
      <c r="L118">
        <v>36</v>
      </c>
      <c r="M118" t="str">
        <f t="shared" si="11"/>
        <v>A2</v>
      </c>
    </row>
    <row r="119" spans="1:13" x14ac:dyDescent="0.35">
      <c r="A119">
        <v>31</v>
      </c>
      <c r="B119" s="1">
        <v>45543</v>
      </c>
      <c r="C119" s="1" t="str">
        <f t="shared" si="9"/>
        <v>Sep</v>
      </c>
      <c r="D119" s="1" t="str">
        <f t="shared" si="10"/>
        <v>2024</v>
      </c>
      <c r="E119" t="s">
        <v>7</v>
      </c>
      <c r="F119" t="s">
        <v>2</v>
      </c>
      <c r="G119" t="s">
        <v>6</v>
      </c>
      <c r="H119">
        <v>369</v>
      </c>
      <c r="I119">
        <v>5246</v>
      </c>
      <c r="J119" s="2">
        <f>Table1[[#This Row],[TotalCost]]/Table1[[#This Row],[UnitsProduced]]</f>
        <v>14.21680216802168</v>
      </c>
      <c r="K119" t="s">
        <v>0</v>
      </c>
      <c r="L119">
        <v>42</v>
      </c>
      <c r="M119" t="str">
        <f t="shared" si="11"/>
        <v>A2</v>
      </c>
    </row>
    <row r="120" spans="1:13" x14ac:dyDescent="0.35">
      <c r="A120">
        <v>79</v>
      </c>
      <c r="B120" s="1">
        <v>45544</v>
      </c>
      <c r="C120" s="1" t="str">
        <f t="shared" si="9"/>
        <v>Sep</v>
      </c>
      <c r="D120" s="1" t="str">
        <f t="shared" si="10"/>
        <v>2024</v>
      </c>
      <c r="E120" t="s">
        <v>5</v>
      </c>
      <c r="F120" t="s">
        <v>2</v>
      </c>
      <c r="G120" t="s">
        <v>4</v>
      </c>
      <c r="H120">
        <v>519</v>
      </c>
      <c r="I120">
        <v>45312</v>
      </c>
      <c r="J120" s="2">
        <f>Table1[[#This Row],[TotalCost]]/Table1[[#This Row],[UnitsProduced]]</f>
        <v>87.306358381502889</v>
      </c>
      <c r="K120" t="s">
        <v>0</v>
      </c>
      <c r="L120">
        <v>42</v>
      </c>
      <c r="M120" t="str">
        <f t="shared" si="11"/>
        <v>A2</v>
      </c>
    </row>
    <row r="121" spans="1:13" x14ac:dyDescent="0.35">
      <c r="A121">
        <v>55</v>
      </c>
      <c r="B121" s="1">
        <v>45549</v>
      </c>
      <c r="C121" s="1" t="str">
        <f t="shared" si="9"/>
        <v>Sep</v>
      </c>
      <c r="D121" s="1" t="str">
        <f t="shared" si="10"/>
        <v>2024</v>
      </c>
      <c r="E121" t="s">
        <v>3</v>
      </c>
      <c r="F121" t="s">
        <v>2</v>
      </c>
      <c r="G121" t="s">
        <v>1</v>
      </c>
      <c r="H121">
        <v>491</v>
      </c>
      <c r="I121">
        <v>59458</v>
      </c>
      <c r="J121" s="2">
        <f>Table1[[#This Row],[TotalCost]]/Table1[[#This Row],[UnitsProduced]]</f>
        <v>121.09572301425662</v>
      </c>
      <c r="K121" t="s">
        <v>0</v>
      </c>
      <c r="L121">
        <v>42</v>
      </c>
      <c r="M121" t="str">
        <f t="shared" si="11"/>
        <v>A2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Marakna</dc:creator>
  <cp:lastModifiedBy>Het Marakna</cp:lastModifiedBy>
  <dcterms:created xsi:type="dcterms:W3CDTF">2026-04-01T10:37:00Z</dcterms:created>
  <dcterms:modified xsi:type="dcterms:W3CDTF">2026-04-02T07:43:38Z</dcterms:modified>
</cp:coreProperties>
</file>