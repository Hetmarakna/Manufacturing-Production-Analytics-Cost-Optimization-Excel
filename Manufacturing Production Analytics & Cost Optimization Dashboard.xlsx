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Project 2 Excel\"/>
    </mc:Choice>
  </mc:AlternateContent>
  <bookViews>
    <workbookView xWindow="0" yWindow="0" windowWidth="19200" windowHeight="6930" firstSheet="1" activeTab="1"/>
  </bookViews>
  <sheets>
    <sheet name="Analyze" sheetId="3" state="hidden" r:id="rId1"/>
    <sheet name="Dashboard" sheetId="4" r:id="rId2"/>
    <sheet name="Sheet1" sheetId="2" state="hidden" r:id="rId3"/>
  </sheets>
  <externalReferences>
    <externalReference r:id="rId4"/>
  </externalReferences>
  <definedNames>
    <definedName name="Slicer_Manager">#N/A</definedName>
    <definedName name="Slicer_Month">#N/A</definedName>
    <definedName name="Slicer_ProductType">#N/A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2" l="1"/>
  <c r="B9" i="2"/>
  <c r="B8" i="2"/>
  <c r="B7" i="2"/>
  <c r="B6" i="2"/>
  <c r="B5" i="2"/>
  <c r="B4" i="2"/>
  <c r="B3" i="2"/>
  <c r="B2" i="2"/>
  <c r="B1" i="2"/>
</calcChain>
</file>

<file path=xl/sharedStrings.xml><?xml version="1.0" encoding="utf-8"?>
<sst xmlns="http://schemas.openxmlformats.org/spreadsheetml/2006/main" count="80" uniqueCount="44">
  <si>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</si>
  <si>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</si>
  <si>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</si>
  <si>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</si>
  <si>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</si>
  <si>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</si>
  <si>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</si>
  <si>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</si>
  <si>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</si>
  <si>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</si>
  <si>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</si>
  <si>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</si>
  <si>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</si>
  <si>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</si>
  <si>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</si>
  <si>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</si>
  <si>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</si>
  <si>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</si>
  <si>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</si>
  <si>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</si>
  <si>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</si>
  <si>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Sum of UnitsProduced</t>
  </si>
  <si>
    <t>Sum of TotalCost</t>
  </si>
  <si>
    <t>Average of Production Cost</t>
  </si>
  <si>
    <t>Count of ProductionID</t>
  </si>
  <si>
    <t>Row Labels</t>
  </si>
  <si>
    <t>Jan</t>
  </si>
  <si>
    <t>Feb</t>
  </si>
  <si>
    <t>Mar</t>
  </si>
  <si>
    <t>Apr</t>
  </si>
  <si>
    <t>May</t>
  </si>
  <si>
    <t>Jun</t>
  </si>
  <si>
    <t>Jul</t>
  </si>
  <si>
    <t>Aug</t>
  </si>
  <si>
    <t>Sep</t>
  </si>
  <si>
    <t>Oct</t>
  </si>
  <si>
    <t>Nov</t>
  </si>
  <si>
    <t>Dec</t>
  </si>
  <si>
    <t>Grand Total</t>
  </si>
  <si>
    <t>Count of Gender</t>
  </si>
  <si>
    <t>A1</t>
  </si>
  <si>
    <t>A2</t>
  </si>
  <si>
    <t>A3</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</si>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</sst>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_ ;_ * \-#,##0_ ;_ * &quot;-&quot;??_ ;_ @_ "/>
  </numFmts>
  <fonts count="2" x14ac:knownFonts="1">
    <font>
      <sz val="11"/>
      <color theme="1"/>
      <name val="Calibri"/>
      <family val="2"/>
      <scheme val="minor"/>
    </font>
    <font>
      <b/>
      <u/>
      <sz val="22"/>
      <color theme="0"/>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horizontal="center" vertical="center"/>
    </xf>
    <xf numFmtId="164" fontId="0" fillId="0" borderId="0" xfId="0" applyNumberFormat="1"/>
  </cellXfs>
  <cellStyles count="1">
    <cellStyle name="Normal" xfId="0" builtinId="0"/>
  </cellStyles>
  <dxfs count="13">
    <dxf>
      <numFmt numFmtId="164" formatCode="_ * #,##0_ ;_ * \-#,##0_ ;_ * &quot;-&quot;??_ ;_ @_ "/>
    </dxf>
    <dxf>
      <numFmt numFmtId="165" formatCode="_ * #,##0.0_ ;_ * \-#,##0.0_ ;_ * &quot;-&quot;??_ ;_ @_ "/>
    </dxf>
    <dxf>
      <numFmt numFmtId="35" formatCode="_ * #,##0.00_ ;_ * \-#,##0.00_ ;_ * &quot;-&quot;??_ ;_ @_ "/>
    </dxf>
    <dxf>
      <numFmt numFmtId="1" formatCode="0"/>
    </dxf>
    <dxf>
      <numFmt numFmtId="166" formatCode="0.0"/>
    </dxf>
    <dxf>
      <numFmt numFmtId="164" formatCode="_ * #,##0_ ;_ * \-#,##0_ ;_ * &quot;-&quot;??_ ;_ @_ "/>
    </dxf>
    <dxf>
      <numFmt numFmtId="165" formatCode="_ * #,##0.0_ ;_ * \-#,##0.0_ ;_ * &quot;-&quot;??_ ;_ @_ "/>
    </dxf>
    <dxf>
      <numFmt numFmtId="35" formatCode="_ * #,##0.00_ ;_ * \-#,##0.00_ ;_ * &quot;-&quot;??_ ;_ @_ "/>
    </dxf>
    <dxf>
      <numFmt numFmtId="2" formatCode="0.00"/>
    </dxf>
    <dxf>
      <numFmt numFmtId="167" formatCode="0.000"/>
    </dxf>
    <dxf>
      <numFmt numFmtId="168" formatCode="0.0000"/>
    </dxf>
    <dxf>
      <numFmt numFmtId="169" formatCode="0.00000"/>
    </dxf>
    <dxf>
      <numFmt numFmtId="170" formatCode="0.000000"/>
    </dxf>
  </dxfs>
  <tableStyles count="1" defaultTableStyle="TableStyleMedium2" defaultPivotStyle="PivotStyleLight16">
    <tableStyle name="Invisible" pivot="0" table="0" count="0"/>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Dashboard.xlsx]Analyze!PivotTable2</c:name>
    <c:fmtId val="0"/>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Montly</a:t>
            </a:r>
            <a:r>
              <a:rPr lang="en-US" b="1" u="sng" baseline="0"/>
              <a:t> Production Trend</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60000"/>
                <a:lumOff val="40000"/>
              </a:schemeClr>
            </a:solidFill>
            <a:round/>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60000"/>
                <a:lumOff val="40000"/>
              </a:schemeClr>
            </a:solidFill>
            <a:round/>
          </a:ln>
          <a:effectLst/>
        </c:spPr>
        <c:marker>
          <c:symbol val="none"/>
        </c:marker>
      </c:pivotFmt>
    </c:pivotFmts>
    <c:plotArea>
      <c:layout/>
      <c:lineChart>
        <c:grouping val="standard"/>
        <c:varyColors val="0"/>
        <c:ser>
          <c:idx val="0"/>
          <c:order val="0"/>
          <c:tx>
            <c:strRef>
              <c:f>Analyze!$B$7</c:f>
              <c:strCache>
                <c:ptCount val="1"/>
                <c:pt idx="0">
                  <c:v>Total</c:v>
                </c:pt>
              </c:strCache>
            </c:strRef>
          </c:tx>
          <c:spPr>
            <a:ln w="28575" cap="rnd">
              <a:solidFill>
                <a:schemeClr val="accent6">
                  <a:lumMod val="60000"/>
                  <a:lumOff val="40000"/>
                </a:schemeClr>
              </a:solidFill>
              <a:round/>
            </a:ln>
            <a:effectLst/>
          </c:spPr>
          <c:marker>
            <c:symbol val="none"/>
          </c:marker>
          <c:cat>
            <c:strRef>
              <c:f>Analyze!$A$8:$A$20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Analyze!$B$8:$B$20</c:f>
              <c:numCache>
                <c:formatCode>General</c:formatCode>
                <c:ptCount val="12"/>
                <c:pt idx="0">
                  <c:v>3026</c:v>
                </c:pt>
                <c:pt idx="1">
                  <c:v>4127</c:v>
                </c:pt>
                <c:pt idx="2">
                  <c:v>3875</c:v>
                </c:pt>
                <c:pt idx="3">
                  <c:v>1528</c:v>
                </c:pt>
                <c:pt idx="4">
                  <c:v>1684</c:v>
                </c:pt>
                <c:pt idx="5">
                  <c:v>3537</c:v>
                </c:pt>
                <c:pt idx="6">
                  <c:v>1536</c:v>
                </c:pt>
                <c:pt idx="7">
                  <c:v>2864</c:v>
                </c:pt>
                <c:pt idx="8">
                  <c:v>2150</c:v>
                </c:pt>
                <c:pt idx="9">
                  <c:v>3103</c:v>
                </c:pt>
                <c:pt idx="10">
                  <c:v>4803</c:v>
                </c:pt>
                <c:pt idx="11">
                  <c:v>2494</c:v>
                </c:pt>
              </c:numCache>
            </c:numRef>
          </c:val>
          <c:smooth val="0"/>
          <c:extLst>
            <c:ext xmlns:c16="http://schemas.microsoft.com/office/drawing/2014/chart" uri="{C3380CC4-5D6E-409C-BE32-E72D297353CC}">
              <c16:uniqueId val="{00000000-0D21-4878-922E-30B106116FA1}"/>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08967152"/>
        <c:axId val="2108967984"/>
      </c:lineChart>
      <c:catAx>
        <c:axId val="21089671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8967984"/>
        <c:crosses val="autoZero"/>
        <c:auto val="1"/>
        <c:lblAlgn val="ctr"/>
        <c:lblOffset val="100"/>
        <c:noMultiLvlLbl val="0"/>
      </c:catAx>
      <c:valAx>
        <c:axId val="210896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8967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Dashboard.xlsx]Analyze!PivotTable5</c:name>
    <c:fmtId val="0"/>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Region-wise</a:t>
            </a:r>
            <a:r>
              <a:rPr lang="en-US" b="1" u="sng" baseline="0"/>
              <a:t> Performance</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Analyze!$E$7:$E$11</c:f>
              <c:strCache>
                <c:ptCount val="4"/>
                <c:pt idx="0">
                  <c:v>East</c:v>
                </c:pt>
                <c:pt idx="1">
                  <c:v>North</c:v>
                </c:pt>
                <c:pt idx="2">
                  <c:v>South</c:v>
                </c:pt>
                <c:pt idx="3">
                  <c:v>West</c:v>
                </c:pt>
              </c:strCache>
            </c:strRef>
          </c:cat>
          <c:val>
            <c:numRef>
              <c:f>Analyze!$F$7:$F$11</c:f>
              <c:numCache>
                <c:formatCode>General</c:formatCode>
                <c:ptCount val="4"/>
                <c:pt idx="0">
                  <c:v>4883</c:v>
                </c:pt>
                <c:pt idx="1">
                  <c:v>8037</c:v>
                </c:pt>
                <c:pt idx="2">
                  <c:v>5284</c:v>
                </c:pt>
                <c:pt idx="3">
                  <c:v>16523</c:v>
                </c:pt>
              </c:numCache>
            </c:numRef>
          </c:val>
          <c:extLst>
            <c:ext xmlns:c16="http://schemas.microsoft.com/office/drawing/2014/chart" uri="{C3380CC4-5D6E-409C-BE32-E72D297353CC}">
              <c16:uniqueId val="{00000000-3C7E-49CE-B885-A5541D35D832}"/>
            </c:ext>
          </c:extLst>
        </c:ser>
        <c:dLbls>
          <c:dLblPos val="outEnd"/>
          <c:showLegendKey val="0"/>
          <c:showVal val="1"/>
          <c:showCatName val="0"/>
          <c:showSerName val="0"/>
          <c:showPercent val="0"/>
          <c:showBubbleSize val="0"/>
        </c:dLbls>
        <c:gapWidth val="219"/>
        <c:overlap val="-27"/>
        <c:axId val="2129228048"/>
        <c:axId val="2129245520"/>
      </c:barChart>
      <c:catAx>
        <c:axId val="2129228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45520"/>
        <c:crosses val="autoZero"/>
        <c:auto val="1"/>
        <c:lblAlgn val="ctr"/>
        <c:lblOffset val="100"/>
        <c:noMultiLvlLbl val="0"/>
      </c:catAx>
      <c:valAx>
        <c:axId val="2129245520"/>
        <c:scaling>
          <c:orientation val="minMax"/>
        </c:scaling>
        <c:delete val="1"/>
        <c:axPos val="l"/>
        <c:numFmt formatCode="General" sourceLinked="1"/>
        <c:majorTickMark val="none"/>
        <c:minorTickMark val="none"/>
        <c:tickLblPos val="nextTo"/>
        <c:crossAx val="212922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Product</a:t>
            </a:r>
            <a:r>
              <a:rPr lang="en-US" b="1" u="sng" baseline="0"/>
              <a:t> Type Analysis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Analyze!$B$22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Analyze!$A$23:$A$27</c:f>
              <c:strCache>
                <c:ptCount val="4"/>
                <c:pt idx="0">
                  <c:v>Automobiles</c:v>
                </c:pt>
                <c:pt idx="1">
                  <c:v>Electronics</c:v>
                </c:pt>
                <c:pt idx="2">
                  <c:v>Furniture</c:v>
                </c:pt>
                <c:pt idx="3">
                  <c:v>Machinery</c:v>
                </c:pt>
              </c:strCache>
            </c:strRef>
          </c:cat>
          <c:val>
            <c:numRef>
              <c:f>Analyze!$B$23:$B$27</c:f>
              <c:numCache>
                <c:formatCode>General</c:formatCode>
                <c:ptCount val="4"/>
                <c:pt idx="0">
                  <c:v>13137</c:v>
                </c:pt>
                <c:pt idx="1">
                  <c:v>6907</c:v>
                </c:pt>
                <c:pt idx="2">
                  <c:v>5274</c:v>
                </c:pt>
                <c:pt idx="3">
                  <c:v>9409</c:v>
                </c:pt>
              </c:numCache>
            </c:numRef>
          </c:val>
          <c:extLst>
            <c:ext xmlns:c16="http://schemas.microsoft.com/office/drawing/2014/chart" uri="{C3380CC4-5D6E-409C-BE32-E72D297353CC}">
              <c16:uniqueId val="{00000000-5724-4322-835B-7C52D7D045CD}"/>
            </c:ext>
          </c:extLst>
        </c:ser>
        <c:dLbls>
          <c:showLegendKey val="0"/>
          <c:showVal val="0"/>
          <c:showCatName val="0"/>
          <c:showSerName val="0"/>
          <c:showPercent val="0"/>
          <c:showBubbleSize val="0"/>
        </c:dLbls>
        <c:gapWidth val="182"/>
        <c:axId val="2104643456"/>
        <c:axId val="2104647200"/>
      </c:barChart>
      <c:catAx>
        <c:axId val="2104643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4647200"/>
        <c:crosses val="autoZero"/>
        <c:auto val="1"/>
        <c:lblAlgn val="ctr"/>
        <c:lblOffset val="100"/>
        <c:noMultiLvlLbl val="0"/>
      </c:catAx>
      <c:valAx>
        <c:axId val="2104647200"/>
        <c:scaling>
          <c:orientation val="minMax"/>
        </c:scaling>
        <c:delete val="1"/>
        <c:axPos val="b"/>
        <c:numFmt formatCode="General" sourceLinked="1"/>
        <c:majorTickMark val="none"/>
        <c:minorTickMark val="none"/>
        <c:tickLblPos val="nextTo"/>
        <c:crossAx val="210464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Dashboard.xlsx]Analyze!PivotTable7</c:name>
    <c:fmtId val="0"/>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IN" b="1" u="sng"/>
              <a:t>Manager</a:t>
            </a:r>
            <a:r>
              <a:rPr lang="en-IN" b="1" u="sng" baseline="0"/>
              <a:t> Performance Dashboard</a:t>
            </a:r>
            <a:endParaRPr lang="en-IN"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Analyze!$F$22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Analyze!$E$23:$E$33</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Analyze!$F$23:$F$33</c:f>
              <c:numCache>
                <c:formatCode>General</c:formatCode>
                <c:ptCount val="10"/>
                <c:pt idx="0">
                  <c:v>2017</c:v>
                </c:pt>
                <c:pt idx="1">
                  <c:v>1534</c:v>
                </c:pt>
                <c:pt idx="2">
                  <c:v>1789</c:v>
                </c:pt>
                <c:pt idx="3">
                  <c:v>1992</c:v>
                </c:pt>
                <c:pt idx="4">
                  <c:v>6157</c:v>
                </c:pt>
                <c:pt idx="5">
                  <c:v>3576</c:v>
                </c:pt>
                <c:pt idx="6">
                  <c:v>2049</c:v>
                </c:pt>
                <c:pt idx="7">
                  <c:v>3566</c:v>
                </c:pt>
                <c:pt idx="8">
                  <c:v>10562</c:v>
                </c:pt>
                <c:pt idx="9">
                  <c:v>1485</c:v>
                </c:pt>
              </c:numCache>
            </c:numRef>
          </c:val>
          <c:extLst>
            <c:ext xmlns:c16="http://schemas.microsoft.com/office/drawing/2014/chart" uri="{C3380CC4-5D6E-409C-BE32-E72D297353CC}">
              <c16:uniqueId val="{00000000-47FB-4CB6-A04F-CD1495363A8A}"/>
            </c:ext>
          </c:extLst>
        </c:ser>
        <c:dLbls>
          <c:dLblPos val="outEnd"/>
          <c:showLegendKey val="0"/>
          <c:showVal val="1"/>
          <c:showCatName val="0"/>
          <c:showSerName val="0"/>
          <c:showPercent val="0"/>
          <c:showBubbleSize val="0"/>
        </c:dLbls>
        <c:gapWidth val="182"/>
        <c:axId val="2106204992"/>
        <c:axId val="2106202080"/>
      </c:barChart>
      <c:catAx>
        <c:axId val="210620499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6202080"/>
        <c:crosses val="autoZero"/>
        <c:auto val="1"/>
        <c:lblAlgn val="ctr"/>
        <c:lblOffset val="100"/>
        <c:noMultiLvlLbl val="0"/>
      </c:catAx>
      <c:valAx>
        <c:axId val="2106202080"/>
        <c:scaling>
          <c:orientation val="minMax"/>
        </c:scaling>
        <c:delete val="1"/>
        <c:axPos val="b"/>
        <c:numFmt formatCode="General" sourceLinked="1"/>
        <c:majorTickMark val="none"/>
        <c:minorTickMark val="none"/>
        <c:tickLblPos val="nextTo"/>
        <c:crossAx val="210620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Cost</a:t>
            </a:r>
            <a:r>
              <a:rPr lang="en-IN" b="1" u="sng" baseline="0"/>
              <a:t> Analysis</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6">
              <a:lumMod val="60000"/>
              <a:lumOff val="40000"/>
            </a:schemeClr>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barChart>
        <c:barDir val="col"/>
        <c:grouping val="clustered"/>
        <c:varyColors val="0"/>
        <c:ser>
          <c:idx val="1"/>
          <c:order val="1"/>
          <c:tx>
            <c:strRef>
              <c:f>Analyze!$C$38</c:f>
              <c:strCache>
                <c:ptCount val="1"/>
                <c:pt idx="0">
                  <c:v>Sum of TotalCost</c:v>
                </c:pt>
              </c:strCache>
            </c:strRef>
          </c:tx>
          <c:spPr>
            <a:solidFill>
              <a:schemeClr val="accent2"/>
            </a:solidFill>
            <a:ln>
              <a:noFill/>
            </a:ln>
            <a:effectLst/>
          </c:spPr>
          <c:invertIfNegative val="0"/>
          <c:cat>
            <c:strRef>
              <c:f>Analyze!$A$39:$A$43</c:f>
              <c:strCache>
                <c:ptCount val="4"/>
                <c:pt idx="0">
                  <c:v>Automobiles</c:v>
                </c:pt>
                <c:pt idx="1">
                  <c:v>Electronics</c:v>
                </c:pt>
                <c:pt idx="2">
                  <c:v>Furniture</c:v>
                </c:pt>
                <c:pt idx="3">
                  <c:v>Machinery</c:v>
                </c:pt>
              </c:strCache>
            </c:strRef>
          </c:cat>
          <c:val>
            <c:numRef>
              <c:f>Analyze!$C$39:$C$43</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1-E07B-435B-AF37-962224A58112}"/>
            </c:ext>
          </c:extLst>
        </c:ser>
        <c:dLbls>
          <c:showLegendKey val="0"/>
          <c:showVal val="0"/>
          <c:showCatName val="0"/>
          <c:showSerName val="0"/>
          <c:showPercent val="0"/>
          <c:showBubbleSize val="0"/>
        </c:dLbls>
        <c:gapWidth val="219"/>
        <c:axId val="2109879888"/>
        <c:axId val="2109890288"/>
      </c:barChart>
      <c:lineChart>
        <c:grouping val="standard"/>
        <c:varyColors val="0"/>
        <c:ser>
          <c:idx val="0"/>
          <c:order val="0"/>
          <c:tx>
            <c:strRef>
              <c:f>Analyze!$B$38</c:f>
              <c:strCache>
                <c:ptCount val="1"/>
                <c:pt idx="0">
                  <c:v>Sum of UnitsProduced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Analyze!$A$39:$A$43</c:f>
              <c:strCache>
                <c:ptCount val="4"/>
                <c:pt idx="0">
                  <c:v>Automobiles</c:v>
                </c:pt>
                <c:pt idx="1">
                  <c:v>Electronics</c:v>
                </c:pt>
                <c:pt idx="2">
                  <c:v>Furniture</c:v>
                </c:pt>
                <c:pt idx="3">
                  <c:v>Machinery</c:v>
                </c:pt>
              </c:strCache>
            </c:strRef>
          </c:cat>
          <c:val>
            <c:numRef>
              <c:f>Analyze!$B$39:$B$43</c:f>
              <c:numCache>
                <c:formatCode>General</c:formatCode>
                <c:ptCount val="4"/>
                <c:pt idx="0">
                  <c:v>13137</c:v>
                </c:pt>
                <c:pt idx="1">
                  <c:v>6907</c:v>
                </c:pt>
                <c:pt idx="2">
                  <c:v>5274</c:v>
                </c:pt>
                <c:pt idx="3">
                  <c:v>9409</c:v>
                </c:pt>
              </c:numCache>
            </c:numRef>
          </c:val>
          <c:smooth val="0"/>
          <c:extLst>
            <c:ext xmlns:c16="http://schemas.microsoft.com/office/drawing/2014/chart" uri="{C3380CC4-5D6E-409C-BE32-E72D297353CC}">
              <c16:uniqueId val="{00000000-E07B-435B-AF37-962224A58112}"/>
            </c:ext>
          </c:extLst>
        </c:ser>
        <c:dLbls>
          <c:showLegendKey val="0"/>
          <c:showVal val="0"/>
          <c:showCatName val="0"/>
          <c:showSerName val="0"/>
          <c:showPercent val="0"/>
          <c:showBubbleSize val="0"/>
        </c:dLbls>
        <c:marker val="1"/>
        <c:smooth val="0"/>
        <c:axId val="2109884048"/>
        <c:axId val="2109882384"/>
      </c:lineChart>
      <c:valAx>
        <c:axId val="2109890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79888"/>
        <c:crosses val="max"/>
        <c:crossBetween val="between"/>
      </c:valAx>
      <c:catAx>
        <c:axId val="21098798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90288"/>
        <c:crosses val="autoZero"/>
        <c:auto val="1"/>
        <c:lblAlgn val="ctr"/>
        <c:lblOffset val="100"/>
        <c:noMultiLvlLbl val="0"/>
      </c:catAx>
      <c:valAx>
        <c:axId val="2109882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84048"/>
        <c:crosses val="autoZero"/>
        <c:crossBetween val="between"/>
      </c:valAx>
      <c:catAx>
        <c:axId val="2109884048"/>
        <c:scaling>
          <c:orientation val="minMax"/>
        </c:scaling>
        <c:delete val="1"/>
        <c:axPos val="t"/>
        <c:numFmt formatCode="General" sourceLinked="1"/>
        <c:majorTickMark val="out"/>
        <c:minorTickMark val="none"/>
        <c:tickLblPos val="nextTo"/>
        <c:crossAx val="2109882384"/>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Gender</a:t>
            </a:r>
            <a:r>
              <a:rPr lang="en-US" b="1" u="sng" baseline="0"/>
              <a:t> Distribution</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5437392795883362"/>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s>
    <c:plotArea>
      <c:layout/>
      <c:pieChart>
        <c:varyColors val="1"/>
        <c:ser>
          <c:idx val="0"/>
          <c:order val="0"/>
          <c:tx>
            <c:strRef>
              <c:f>Analyze!$G$38</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133-4FF8-956E-043916C2589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4133-4FF8-956E-043916C25897}"/>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133-4FF8-956E-043916C25897}"/>
              </c:ext>
            </c:extLst>
          </c:dPt>
          <c:cat>
            <c:strRef>
              <c:f>Analyze!$F$39:$F$42</c:f>
              <c:strCache>
                <c:ptCount val="3"/>
                <c:pt idx="0">
                  <c:v>Female</c:v>
                </c:pt>
                <c:pt idx="1">
                  <c:v>Male</c:v>
                </c:pt>
                <c:pt idx="2">
                  <c:v>Unknown</c:v>
                </c:pt>
              </c:strCache>
            </c:strRef>
          </c:cat>
          <c:val>
            <c:numRef>
              <c:f>Analyze!$G$39:$G$42</c:f>
              <c:numCache>
                <c:formatCode>General</c:formatCode>
                <c:ptCount val="3"/>
                <c:pt idx="0">
                  <c:v>56</c:v>
                </c:pt>
                <c:pt idx="1">
                  <c:v>53</c:v>
                </c:pt>
                <c:pt idx="2">
                  <c:v>11</c:v>
                </c:pt>
              </c:numCache>
            </c:numRef>
          </c:val>
          <c:extLst>
            <c:ext xmlns:c16="http://schemas.microsoft.com/office/drawing/2014/chart" uri="{C3380CC4-5D6E-409C-BE32-E72D297353CC}">
              <c16:uniqueId val="{00000000-4133-4FF8-956E-043916C2589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Age</a:t>
            </a:r>
            <a:r>
              <a:rPr lang="en-US" b="1" u="sng" baseline="0"/>
              <a:t> Group Analysis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Analyze!$B$54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Analyze!$A$55:$A$58</c:f>
              <c:strCache>
                <c:ptCount val="3"/>
                <c:pt idx="0">
                  <c:v>A1</c:v>
                </c:pt>
                <c:pt idx="1">
                  <c:v>A2</c:v>
                </c:pt>
                <c:pt idx="2">
                  <c:v>A3</c:v>
                </c:pt>
              </c:strCache>
            </c:strRef>
          </c:cat>
          <c:val>
            <c:numRef>
              <c:f>Analyze!$B$55:$B$58</c:f>
              <c:numCache>
                <c:formatCode>General</c:formatCode>
                <c:ptCount val="3"/>
                <c:pt idx="0">
                  <c:v>15531</c:v>
                </c:pt>
                <c:pt idx="1">
                  <c:v>12047</c:v>
                </c:pt>
                <c:pt idx="2">
                  <c:v>7149</c:v>
                </c:pt>
              </c:numCache>
            </c:numRef>
          </c:val>
          <c:extLst>
            <c:ext xmlns:c16="http://schemas.microsoft.com/office/drawing/2014/chart" uri="{C3380CC4-5D6E-409C-BE32-E72D297353CC}">
              <c16:uniqueId val="{00000000-FE8E-4A88-8A09-3A5A57B29E65}"/>
            </c:ext>
          </c:extLst>
        </c:ser>
        <c:dLbls>
          <c:dLblPos val="outEnd"/>
          <c:showLegendKey val="0"/>
          <c:showVal val="1"/>
          <c:showCatName val="0"/>
          <c:showSerName val="0"/>
          <c:showPercent val="0"/>
          <c:showBubbleSize val="0"/>
        </c:dLbls>
        <c:gapWidth val="219"/>
        <c:overlap val="-27"/>
        <c:axId val="2109478112"/>
        <c:axId val="2109473952"/>
      </c:barChart>
      <c:catAx>
        <c:axId val="2109478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473952"/>
        <c:crosses val="autoZero"/>
        <c:auto val="1"/>
        <c:lblAlgn val="ctr"/>
        <c:lblOffset val="100"/>
        <c:noMultiLvlLbl val="0"/>
      </c:catAx>
      <c:valAx>
        <c:axId val="2109473952"/>
        <c:scaling>
          <c:orientation val="minMax"/>
        </c:scaling>
        <c:delete val="1"/>
        <c:axPos val="l"/>
        <c:numFmt formatCode="General" sourceLinked="1"/>
        <c:majorTickMark val="none"/>
        <c:minorTickMark val="none"/>
        <c:tickLblPos val="nextTo"/>
        <c:crossAx val="2109478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t>Production Efficiency Analysis</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lumMod val="75000"/>
                </a:schemeClr>
              </a:solidFill>
              <a:ln w="9525">
                <a:solidFill>
                  <a:schemeClr val="accent1"/>
                </a:solidFill>
              </a:ln>
              <a:effectLst/>
            </c:spPr>
          </c:marker>
          <c:xVal>
            <c:numRef>
              <c:f>Analyze!$F$55:$F$165</c:f>
              <c:numCache>
                <c:formatCode>General</c:formatCode>
                <c:ptCount val="111"/>
                <c:pt idx="0">
                  <c:v>32</c:v>
                </c:pt>
                <c:pt idx="1">
                  <c:v>51</c:v>
                </c:pt>
                <c:pt idx="2">
                  <c:v>55</c:v>
                </c:pt>
                <c:pt idx="3">
                  <c:v>60</c:v>
                </c:pt>
                <c:pt idx="4">
                  <c:v>62</c:v>
                </c:pt>
                <c:pt idx="5">
                  <c:v>63</c:v>
                </c:pt>
                <c:pt idx="6">
                  <c:v>68</c:v>
                </c:pt>
                <c:pt idx="7">
                  <c:v>74</c:v>
                </c:pt>
                <c:pt idx="8">
                  <c:v>79</c:v>
                </c:pt>
                <c:pt idx="9">
                  <c:v>81</c:v>
                </c:pt>
                <c:pt idx="10">
                  <c:v>84</c:v>
                </c:pt>
                <c:pt idx="11">
                  <c:v>86</c:v>
                </c:pt>
                <c:pt idx="12">
                  <c:v>90</c:v>
                </c:pt>
                <c:pt idx="13">
                  <c:v>95</c:v>
                </c:pt>
                <c:pt idx="14">
                  <c:v>97</c:v>
                </c:pt>
                <c:pt idx="15">
                  <c:v>115</c:v>
                </c:pt>
                <c:pt idx="16">
                  <c:v>126</c:v>
                </c:pt>
                <c:pt idx="17">
                  <c:v>128</c:v>
                </c:pt>
                <c:pt idx="18">
                  <c:v>130</c:v>
                </c:pt>
                <c:pt idx="19">
                  <c:v>145</c:v>
                </c:pt>
                <c:pt idx="20">
                  <c:v>151</c:v>
                </c:pt>
                <c:pt idx="21">
                  <c:v>155</c:v>
                </c:pt>
                <c:pt idx="22">
                  <c:v>160</c:v>
                </c:pt>
                <c:pt idx="23">
                  <c:v>165</c:v>
                </c:pt>
                <c:pt idx="24">
                  <c:v>173</c:v>
                </c:pt>
                <c:pt idx="25">
                  <c:v>177</c:v>
                </c:pt>
                <c:pt idx="26">
                  <c:v>178</c:v>
                </c:pt>
                <c:pt idx="27">
                  <c:v>180</c:v>
                </c:pt>
                <c:pt idx="28">
                  <c:v>183</c:v>
                </c:pt>
                <c:pt idx="29">
                  <c:v>188</c:v>
                </c:pt>
                <c:pt idx="30">
                  <c:v>190</c:v>
                </c:pt>
                <c:pt idx="31">
                  <c:v>192</c:v>
                </c:pt>
                <c:pt idx="32">
                  <c:v>193</c:v>
                </c:pt>
                <c:pt idx="33">
                  <c:v>199</c:v>
                </c:pt>
                <c:pt idx="34">
                  <c:v>208</c:v>
                </c:pt>
                <c:pt idx="35">
                  <c:v>209</c:v>
                </c:pt>
                <c:pt idx="36">
                  <c:v>213</c:v>
                </c:pt>
                <c:pt idx="37">
                  <c:v>214</c:v>
                </c:pt>
                <c:pt idx="38">
                  <c:v>216</c:v>
                </c:pt>
                <c:pt idx="39">
                  <c:v>218</c:v>
                </c:pt>
                <c:pt idx="40">
                  <c:v>222</c:v>
                </c:pt>
                <c:pt idx="41">
                  <c:v>231</c:v>
                </c:pt>
                <c:pt idx="42">
                  <c:v>236</c:v>
                </c:pt>
                <c:pt idx="43">
                  <c:v>240</c:v>
                </c:pt>
                <c:pt idx="44">
                  <c:v>248</c:v>
                </c:pt>
                <c:pt idx="45">
                  <c:v>250</c:v>
                </c:pt>
                <c:pt idx="46">
                  <c:v>255</c:v>
                </c:pt>
                <c:pt idx="47">
                  <c:v>260</c:v>
                </c:pt>
                <c:pt idx="48">
                  <c:v>264</c:v>
                </c:pt>
                <c:pt idx="49">
                  <c:v>265</c:v>
                </c:pt>
                <c:pt idx="50">
                  <c:v>288</c:v>
                </c:pt>
                <c:pt idx="51">
                  <c:v>289</c:v>
                </c:pt>
                <c:pt idx="52">
                  <c:v>290</c:v>
                </c:pt>
                <c:pt idx="53">
                  <c:v>305</c:v>
                </c:pt>
                <c:pt idx="54">
                  <c:v>306</c:v>
                </c:pt>
                <c:pt idx="55">
                  <c:v>307</c:v>
                </c:pt>
                <c:pt idx="56">
                  <c:v>308</c:v>
                </c:pt>
                <c:pt idx="57">
                  <c:v>318</c:v>
                </c:pt>
                <c:pt idx="58">
                  <c:v>319</c:v>
                </c:pt>
                <c:pt idx="59">
                  <c:v>322</c:v>
                </c:pt>
                <c:pt idx="60">
                  <c:v>331</c:v>
                </c:pt>
                <c:pt idx="61">
                  <c:v>332</c:v>
                </c:pt>
                <c:pt idx="62">
                  <c:v>333</c:v>
                </c:pt>
                <c:pt idx="63">
                  <c:v>335</c:v>
                </c:pt>
                <c:pt idx="64">
                  <c:v>343</c:v>
                </c:pt>
                <c:pt idx="65">
                  <c:v>344</c:v>
                </c:pt>
                <c:pt idx="66">
                  <c:v>354</c:v>
                </c:pt>
                <c:pt idx="67">
                  <c:v>358</c:v>
                </c:pt>
                <c:pt idx="68">
                  <c:v>359</c:v>
                </c:pt>
                <c:pt idx="69">
                  <c:v>363</c:v>
                </c:pt>
                <c:pt idx="70">
                  <c:v>366</c:v>
                </c:pt>
                <c:pt idx="71">
                  <c:v>368</c:v>
                </c:pt>
                <c:pt idx="72">
                  <c:v>369</c:v>
                </c:pt>
                <c:pt idx="73">
                  <c:v>376</c:v>
                </c:pt>
                <c:pt idx="74">
                  <c:v>380</c:v>
                </c:pt>
                <c:pt idx="75">
                  <c:v>382</c:v>
                </c:pt>
                <c:pt idx="76">
                  <c:v>383</c:v>
                </c:pt>
                <c:pt idx="77">
                  <c:v>384</c:v>
                </c:pt>
                <c:pt idx="78">
                  <c:v>386</c:v>
                </c:pt>
                <c:pt idx="79">
                  <c:v>389</c:v>
                </c:pt>
                <c:pt idx="80">
                  <c:v>396</c:v>
                </c:pt>
                <c:pt idx="81">
                  <c:v>401</c:v>
                </c:pt>
                <c:pt idx="82">
                  <c:v>404</c:v>
                </c:pt>
                <c:pt idx="83">
                  <c:v>406</c:v>
                </c:pt>
                <c:pt idx="84">
                  <c:v>412</c:v>
                </c:pt>
                <c:pt idx="85">
                  <c:v>422</c:v>
                </c:pt>
                <c:pt idx="86">
                  <c:v>429</c:v>
                </c:pt>
                <c:pt idx="87">
                  <c:v>430</c:v>
                </c:pt>
                <c:pt idx="88">
                  <c:v>435</c:v>
                </c:pt>
                <c:pt idx="89">
                  <c:v>439</c:v>
                </c:pt>
                <c:pt idx="90">
                  <c:v>443</c:v>
                </c:pt>
                <c:pt idx="91">
                  <c:v>444</c:v>
                </c:pt>
                <c:pt idx="92">
                  <c:v>447</c:v>
                </c:pt>
                <c:pt idx="93">
                  <c:v>458</c:v>
                </c:pt>
                <c:pt idx="94">
                  <c:v>459</c:v>
                </c:pt>
                <c:pt idx="95">
                  <c:v>460</c:v>
                </c:pt>
                <c:pt idx="96">
                  <c:v>462</c:v>
                </c:pt>
                <c:pt idx="97">
                  <c:v>465</c:v>
                </c:pt>
                <c:pt idx="98">
                  <c:v>478</c:v>
                </c:pt>
                <c:pt idx="99">
                  <c:v>491</c:v>
                </c:pt>
                <c:pt idx="100">
                  <c:v>494</c:v>
                </c:pt>
                <c:pt idx="101">
                  <c:v>495</c:v>
                </c:pt>
                <c:pt idx="102">
                  <c:v>497</c:v>
                </c:pt>
                <c:pt idx="103">
                  <c:v>499</c:v>
                </c:pt>
                <c:pt idx="104">
                  <c:v>511</c:v>
                </c:pt>
                <c:pt idx="105">
                  <c:v>519</c:v>
                </c:pt>
                <c:pt idx="106">
                  <c:v>527</c:v>
                </c:pt>
                <c:pt idx="107">
                  <c:v>535</c:v>
                </c:pt>
                <c:pt idx="108">
                  <c:v>541</c:v>
                </c:pt>
                <c:pt idx="109">
                  <c:v>545</c:v>
                </c:pt>
                <c:pt idx="110">
                  <c:v>666</c:v>
                </c:pt>
              </c:numCache>
            </c:numRef>
          </c:xVal>
          <c:yVal>
            <c:numRef>
              <c:f>Analyze!$G$55:$G$165</c:f>
              <c:numCache>
                <c:formatCode>General</c:formatCode>
                <c:ptCount val="111"/>
                <c:pt idx="0">
                  <c:v>3132</c:v>
                </c:pt>
                <c:pt idx="1">
                  <c:v>92168</c:v>
                </c:pt>
                <c:pt idx="2">
                  <c:v>25893</c:v>
                </c:pt>
                <c:pt idx="3">
                  <c:v>5822</c:v>
                </c:pt>
                <c:pt idx="4">
                  <c:v>31500</c:v>
                </c:pt>
                <c:pt idx="5">
                  <c:v>3960</c:v>
                </c:pt>
                <c:pt idx="6">
                  <c:v>11696</c:v>
                </c:pt>
                <c:pt idx="7">
                  <c:v>36708</c:v>
                </c:pt>
                <c:pt idx="8">
                  <c:v>11078</c:v>
                </c:pt>
                <c:pt idx="9">
                  <c:v>31414</c:v>
                </c:pt>
                <c:pt idx="10">
                  <c:v>10688</c:v>
                </c:pt>
                <c:pt idx="11">
                  <c:v>25853</c:v>
                </c:pt>
                <c:pt idx="12">
                  <c:v>42328</c:v>
                </c:pt>
                <c:pt idx="13">
                  <c:v>46800</c:v>
                </c:pt>
                <c:pt idx="14">
                  <c:v>1358</c:v>
                </c:pt>
                <c:pt idx="15">
                  <c:v>48880</c:v>
                </c:pt>
                <c:pt idx="16">
                  <c:v>40446</c:v>
                </c:pt>
                <c:pt idx="17">
                  <c:v>35767</c:v>
                </c:pt>
                <c:pt idx="18">
                  <c:v>16740</c:v>
                </c:pt>
                <c:pt idx="19">
                  <c:v>43615</c:v>
                </c:pt>
                <c:pt idx="20">
                  <c:v>8475</c:v>
                </c:pt>
                <c:pt idx="21">
                  <c:v>11092</c:v>
                </c:pt>
                <c:pt idx="22">
                  <c:v>59248</c:v>
                </c:pt>
                <c:pt idx="23">
                  <c:v>679</c:v>
                </c:pt>
                <c:pt idx="24">
                  <c:v>24549</c:v>
                </c:pt>
                <c:pt idx="25">
                  <c:v>30600</c:v>
                </c:pt>
                <c:pt idx="26">
                  <c:v>42028</c:v>
                </c:pt>
                <c:pt idx="27">
                  <c:v>33684</c:v>
                </c:pt>
                <c:pt idx="28">
                  <c:v>679</c:v>
                </c:pt>
                <c:pt idx="29">
                  <c:v>679</c:v>
                </c:pt>
                <c:pt idx="30">
                  <c:v>28050</c:v>
                </c:pt>
                <c:pt idx="31">
                  <c:v>18648</c:v>
                </c:pt>
                <c:pt idx="32">
                  <c:v>18796</c:v>
                </c:pt>
                <c:pt idx="33">
                  <c:v>56118</c:v>
                </c:pt>
                <c:pt idx="34">
                  <c:v>25758</c:v>
                </c:pt>
                <c:pt idx="35">
                  <c:v>51221</c:v>
                </c:pt>
                <c:pt idx="36">
                  <c:v>42028</c:v>
                </c:pt>
                <c:pt idx="37">
                  <c:v>48060</c:v>
                </c:pt>
                <c:pt idx="38">
                  <c:v>36934</c:v>
                </c:pt>
                <c:pt idx="39">
                  <c:v>7125</c:v>
                </c:pt>
                <c:pt idx="40">
                  <c:v>17500</c:v>
                </c:pt>
                <c:pt idx="41">
                  <c:v>32045</c:v>
                </c:pt>
                <c:pt idx="42">
                  <c:v>679</c:v>
                </c:pt>
                <c:pt idx="43">
                  <c:v>65052</c:v>
                </c:pt>
                <c:pt idx="44">
                  <c:v>12870</c:v>
                </c:pt>
                <c:pt idx="45">
                  <c:v>11385</c:v>
                </c:pt>
                <c:pt idx="46">
                  <c:v>57706</c:v>
                </c:pt>
                <c:pt idx="47">
                  <c:v>34680</c:v>
                </c:pt>
                <c:pt idx="48">
                  <c:v>75332</c:v>
                </c:pt>
                <c:pt idx="49">
                  <c:v>12320</c:v>
                </c:pt>
                <c:pt idx="50">
                  <c:v>33284</c:v>
                </c:pt>
                <c:pt idx="51">
                  <c:v>24948</c:v>
                </c:pt>
                <c:pt idx="52">
                  <c:v>15132</c:v>
                </c:pt>
                <c:pt idx="53">
                  <c:v>3186</c:v>
                </c:pt>
                <c:pt idx="54">
                  <c:v>679</c:v>
                </c:pt>
                <c:pt idx="55">
                  <c:v>679</c:v>
                </c:pt>
                <c:pt idx="56">
                  <c:v>27956</c:v>
                </c:pt>
                <c:pt idx="57">
                  <c:v>16864</c:v>
                </c:pt>
                <c:pt idx="58">
                  <c:v>4221</c:v>
                </c:pt>
                <c:pt idx="59">
                  <c:v>29440</c:v>
                </c:pt>
                <c:pt idx="60">
                  <c:v>27140</c:v>
                </c:pt>
                <c:pt idx="61">
                  <c:v>679</c:v>
                </c:pt>
                <c:pt idx="62">
                  <c:v>48000</c:v>
                </c:pt>
                <c:pt idx="63">
                  <c:v>36984</c:v>
                </c:pt>
                <c:pt idx="64">
                  <c:v>33344</c:v>
                </c:pt>
                <c:pt idx="65">
                  <c:v>13872</c:v>
                </c:pt>
                <c:pt idx="66">
                  <c:v>679</c:v>
                </c:pt>
                <c:pt idx="67">
                  <c:v>13568</c:v>
                </c:pt>
                <c:pt idx="68">
                  <c:v>12753</c:v>
                </c:pt>
                <c:pt idx="69">
                  <c:v>38232</c:v>
                </c:pt>
                <c:pt idx="70">
                  <c:v>4131</c:v>
                </c:pt>
                <c:pt idx="71">
                  <c:v>71322</c:v>
                </c:pt>
                <c:pt idx="72">
                  <c:v>5246</c:v>
                </c:pt>
                <c:pt idx="73">
                  <c:v>679</c:v>
                </c:pt>
                <c:pt idx="74">
                  <c:v>44525</c:v>
                </c:pt>
                <c:pt idx="75">
                  <c:v>37490</c:v>
                </c:pt>
                <c:pt idx="76">
                  <c:v>39008</c:v>
                </c:pt>
                <c:pt idx="77">
                  <c:v>40565</c:v>
                </c:pt>
                <c:pt idx="78">
                  <c:v>47952</c:v>
                </c:pt>
                <c:pt idx="79">
                  <c:v>37744</c:v>
                </c:pt>
                <c:pt idx="80">
                  <c:v>38480</c:v>
                </c:pt>
                <c:pt idx="81">
                  <c:v>19691</c:v>
                </c:pt>
                <c:pt idx="82">
                  <c:v>13310</c:v>
                </c:pt>
                <c:pt idx="83">
                  <c:v>47880</c:v>
                </c:pt>
                <c:pt idx="84">
                  <c:v>22288</c:v>
                </c:pt>
                <c:pt idx="85">
                  <c:v>13490</c:v>
                </c:pt>
                <c:pt idx="86">
                  <c:v>58208</c:v>
                </c:pt>
                <c:pt idx="87">
                  <c:v>66500</c:v>
                </c:pt>
                <c:pt idx="88">
                  <c:v>64090</c:v>
                </c:pt>
                <c:pt idx="89">
                  <c:v>31392</c:v>
                </c:pt>
                <c:pt idx="90">
                  <c:v>50652</c:v>
                </c:pt>
                <c:pt idx="91">
                  <c:v>7272</c:v>
                </c:pt>
                <c:pt idx="92">
                  <c:v>52269</c:v>
                </c:pt>
                <c:pt idx="93">
                  <c:v>42873</c:v>
                </c:pt>
                <c:pt idx="94">
                  <c:v>17069</c:v>
                </c:pt>
                <c:pt idx="95">
                  <c:v>50274</c:v>
                </c:pt>
                <c:pt idx="96">
                  <c:v>26145</c:v>
                </c:pt>
                <c:pt idx="97">
                  <c:v>679</c:v>
                </c:pt>
                <c:pt idx="98">
                  <c:v>76076</c:v>
                </c:pt>
                <c:pt idx="99">
                  <c:v>59458</c:v>
                </c:pt>
                <c:pt idx="100">
                  <c:v>46767</c:v>
                </c:pt>
                <c:pt idx="101">
                  <c:v>679</c:v>
                </c:pt>
                <c:pt idx="102">
                  <c:v>46548</c:v>
                </c:pt>
                <c:pt idx="103">
                  <c:v>48316</c:v>
                </c:pt>
                <c:pt idx="104">
                  <c:v>17377</c:v>
                </c:pt>
                <c:pt idx="105">
                  <c:v>45312</c:v>
                </c:pt>
                <c:pt idx="106">
                  <c:v>51168</c:v>
                </c:pt>
                <c:pt idx="107">
                  <c:v>44330</c:v>
                </c:pt>
                <c:pt idx="108">
                  <c:v>42432</c:v>
                </c:pt>
                <c:pt idx="109">
                  <c:v>65250</c:v>
                </c:pt>
                <c:pt idx="110">
                  <c:v>64635</c:v>
                </c:pt>
              </c:numCache>
            </c:numRef>
          </c:yVal>
          <c:smooth val="0"/>
          <c:extLst>
            <c:ext xmlns:c16="http://schemas.microsoft.com/office/drawing/2014/chart" uri="{C3380CC4-5D6E-409C-BE32-E72D297353CC}">
              <c16:uniqueId val="{00000000-4C0F-4AA4-BBCE-19D31DAD3BB0}"/>
            </c:ext>
          </c:extLst>
        </c:ser>
        <c:dLbls>
          <c:showLegendKey val="0"/>
          <c:showVal val="0"/>
          <c:showCatName val="0"/>
          <c:showSerName val="0"/>
          <c:showPercent val="0"/>
          <c:showBubbleSize val="0"/>
        </c:dLbls>
        <c:axId val="2129225552"/>
        <c:axId val="2129235536"/>
      </c:scatterChart>
      <c:valAx>
        <c:axId val="21292255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35536"/>
        <c:crosses val="autoZero"/>
        <c:crossBetween val="midCat"/>
      </c:valAx>
      <c:valAx>
        <c:axId val="21292355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255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Dashboard.xlsx]Analyze!PivotTable5</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Region-wise</a:t>
            </a:r>
            <a:r>
              <a:rPr lang="en-US" b="1" u="sng" baseline="0"/>
              <a:t> Performance</a:t>
            </a:r>
            <a:endParaRPr lang="en-US" b="1" u="sng"/>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Analyze!$F$6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Analyze!$E$7:$E$11</c:f>
              <c:strCache>
                <c:ptCount val="4"/>
                <c:pt idx="0">
                  <c:v>East</c:v>
                </c:pt>
                <c:pt idx="1">
                  <c:v>North</c:v>
                </c:pt>
                <c:pt idx="2">
                  <c:v>South</c:v>
                </c:pt>
                <c:pt idx="3">
                  <c:v>West</c:v>
                </c:pt>
              </c:strCache>
            </c:strRef>
          </c:cat>
          <c:val>
            <c:numRef>
              <c:f>Analyze!$F$7:$F$11</c:f>
              <c:numCache>
                <c:formatCode>General</c:formatCode>
                <c:ptCount val="4"/>
                <c:pt idx="0">
                  <c:v>4883</c:v>
                </c:pt>
                <c:pt idx="1">
                  <c:v>8037</c:v>
                </c:pt>
                <c:pt idx="2">
                  <c:v>5284</c:v>
                </c:pt>
                <c:pt idx="3">
                  <c:v>16523</c:v>
                </c:pt>
              </c:numCache>
            </c:numRef>
          </c:val>
          <c:extLst>
            <c:ext xmlns:c16="http://schemas.microsoft.com/office/drawing/2014/chart" uri="{C3380CC4-5D6E-409C-BE32-E72D297353CC}">
              <c16:uniqueId val="{00000000-1C5A-408B-ACB7-FB223EE414EE}"/>
            </c:ext>
          </c:extLst>
        </c:ser>
        <c:dLbls>
          <c:dLblPos val="outEnd"/>
          <c:showLegendKey val="0"/>
          <c:showVal val="1"/>
          <c:showCatName val="0"/>
          <c:showSerName val="0"/>
          <c:showPercent val="0"/>
          <c:showBubbleSize val="0"/>
        </c:dLbls>
        <c:gapWidth val="219"/>
        <c:overlap val="-27"/>
        <c:axId val="2129228048"/>
        <c:axId val="2129245520"/>
      </c:barChart>
      <c:catAx>
        <c:axId val="2129228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45520"/>
        <c:crosses val="autoZero"/>
        <c:auto val="1"/>
        <c:lblAlgn val="ctr"/>
        <c:lblOffset val="100"/>
        <c:noMultiLvlLbl val="0"/>
      </c:catAx>
      <c:valAx>
        <c:axId val="2129245520"/>
        <c:scaling>
          <c:orientation val="minMax"/>
        </c:scaling>
        <c:delete val="1"/>
        <c:axPos val="l"/>
        <c:numFmt formatCode="General" sourceLinked="1"/>
        <c:majorTickMark val="none"/>
        <c:minorTickMark val="none"/>
        <c:tickLblPos val="nextTo"/>
        <c:crossAx val="2129228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Product</a:t>
            </a:r>
            <a:r>
              <a:rPr lang="en-US" b="1" u="sng" baseline="0"/>
              <a:t> Type Analysis</a:t>
            </a:r>
            <a:endParaRPr lang="en-US"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Analyze!$B$22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Analyze!$A$23:$A$27</c:f>
              <c:strCache>
                <c:ptCount val="4"/>
                <c:pt idx="0">
                  <c:v>Automobiles</c:v>
                </c:pt>
                <c:pt idx="1">
                  <c:v>Electronics</c:v>
                </c:pt>
                <c:pt idx="2">
                  <c:v>Furniture</c:v>
                </c:pt>
                <c:pt idx="3">
                  <c:v>Machinery</c:v>
                </c:pt>
              </c:strCache>
            </c:strRef>
          </c:cat>
          <c:val>
            <c:numRef>
              <c:f>Analyze!$B$23:$B$27</c:f>
              <c:numCache>
                <c:formatCode>General</c:formatCode>
                <c:ptCount val="4"/>
                <c:pt idx="0">
                  <c:v>13137</c:v>
                </c:pt>
                <c:pt idx="1">
                  <c:v>6907</c:v>
                </c:pt>
                <c:pt idx="2">
                  <c:v>5274</c:v>
                </c:pt>
                <c:pt idx="3">
                  <c:v>9409</c:v>
                </c:pt>
              </c:numCache>
            </c:numRef>
          </c:val>
          <c:extLst>
            <c:ext xmlns:c16="http://schemas.microsoft.com/office/drawing/2014/chart" uri="{C3380CC4-5D6E-409C-BE32-E72D297353CC}">
              <c16:uniqueId val="{00000000-8F7A-46BE-9350-88AA74FDE3FC}"/>
            </c:ext>
          </c:extLst>
        </c:ser>
        <c:dLbls>
          <c:showLegendKey val="0"/>
          <c:showVal val="0"/>
          <c:showCatName val="0"/>
          <c:showSerName val="0"/>
          <c:showPercent val="0"/>
          <c:showBubbleSize val="0"/>
        </c:dLbls>
        <c:gapWidth val="182"/>
        <c:axId val="2104643456"/>
        <c:axId val="2104647200"/>
      </c:barChart>
      <c:catAx>
        <c:axId val="2104643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4647200"/>
        <c:crosses val="autoZero"/>
        <c:auto val="1"/>
        <c:lblAlgn val="ctr"/>
        <c:lblOffset val="100"/>
        <c:noMultiLvlLbl val="0"/>
      </c:catAx>
      <c:valAx>
        <c:axId val="2104647200"/>
        <c:scaling>
          <c:orientation val="minMax"/>
        </c:scaling>
        <c:delete val="1"/>
        <c:axPos val="b"/>
        <c:numFmt formatCode="General" sourceLinked="1"/>
        <c:majorTickMark val="none"/>
        <c:minorTickMark val="none"/>
        <c:tickLblPos val="nextTo"/>
        <c:crossAx val="210464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Dashboard.xlsx]Analyze!PivotTable7</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IN" b="1" u="sng"/>
              <a:t>Manager</a:t>
            </a:r>
            <a:r>
              <a:rPr lang="en-IN" b="1" u="sng" baseline="0"/>
              <a:t> Performance Dashboard</a:t>
            </a:r>
            <a:endParaRPr lang="en-IN" b="1" u="sng"/>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Analyze!$F$22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Analyze!$E$23:$E$33</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Analyze!$F$23:$F$33</c:f>
              <c:numCache>
                <c:formatCode>General</c:formatCode>
                <c:ptCount val="10"/>
                <c:pt idx="0">
                  <c:v>2017</c:v>
                </c:pt>
                <c:pt idx="1">
                  <c:v>1534</c:v>
                </c:pt>
                <c:pt idx="2">
                  <c:v>1789</c:v>
                </c:pt>
                <c:pt idx="3">
                  <c:v>1992</c:v>
                </c:pt>
                <c:pt idx="4">
                  <c:v>6157</c:v>
                </c:pt>
                <c:pt idx="5">
                  <c:v>3576</c:v>
                </c:pt>
                <c:pt idx="6">
                  <c:v>2049</c:v>
                </c:pt>
                <c:pt idx="7">
                  <c:v>3566</c:v>
                </c:pt>
                <c:pt idx="8">
                  <c:v>10562</c:v>
                </c:pt>
                <c:pt idx="9">
                  <c:v>1485</c:v>
                </c:pt>
              </c:numCache>
            </c:numRef>
          </c:val>
          <c:extLst>
            <c:ext xmlns:c16="http://schemas.microsoft.com/office/drawing/2014/chart" uri="{C3380CC4-5D6E-409C-BE32-E72D297353CC}">
              <c16:uniqueId val="{00000000-1AAB-443F-9C10-D09DCDE4357B}"/>
            </c:ext>
          </c:extLst>
        </c:ser>
        <c:dLbls>
          <c:dLblPos val="outEnd"/>
          <c:showLegendKey val="0"/>
          <c:showVal val="1"/>
          <c:showCatName val="0"/>
          <c:showSerName val="0"/>
          <c:showPercent val="0"/>
          <c:showBubbleSize val="0"/>
        </c:dLbls>
        <c:gapWidth val="182"/>
        <c:axId val="2106204992"/>
        <c:axId val="2106202080"/>
      </c:barChart>
      <c:catAx>
        <c:axId val="210620499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6202080"/>
        <c:crosses val="autoZero"/>
        <c:auto val="1"/>
        <c:lblAlgn val="ctr"/>
        <c:lblOffset val="100"/>
        <c:noMultiLvlLbl val="0"/>
      </c:catAx>
      <c:valAx>
        <c:axId val="2106202080"/>
        <c:scaling>
          <c:orientation val="minMax"/>
        </c:scaling>
        <c:delete val="1"/>
        <c:axPos val="b"/>
        <c:numFmt formatCode="General" sourceLinked="1"/>
        <c:majorTickMark val="none"/>
        <c:minorTickMark val="none"/>
        <c:tickLblPos val="nextTo"/>
        <c:crossAx val="210620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Gender</a:t>
            </a:r>
            <a:r>
              <a:rPr lang="en-US" b="1" u="sng" baseline="0"/>
              <a:t> Distribution</a:t>
            </a:r>
            <a:endParaRPr lang="en-US"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5437392795883362"/>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6">
              <a:lumMod val="75000"/>
            </a:schemeClr>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pivotFmt>
      <c:pivotFmt>
        <c:idx val="13"/>
        <c:spPr>
          <a:solidFill>
            <a:schemeClr val="accent6">
              <a:lumMod val="40000"/>
              <a:lumOff val="60000"/>
            </a:schemeClr>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solidFill>
            <a:schemeClr val="accent6">
              <a:lumMod val="40000"/>
              <a:lumOff val="60000"/>
            </a:schemeClr>
          </a:solidFill>
          <a:ln w="19050">
            <a:solidFill>
              <a:schemeClr val="lt1"/>
            </a:solidFill>
          </a:ln>
          <a:effectLst/>
        </c:spPr>
        <c:dLbl>
          <c:idx val="0"/>
          <c:layout>
            <c:manualLayout>
              <c:x val="-0.11764705882352941"/>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solidFill>
            <a:schemeClr val="accent6">
              <a:lumMod val="60000"/>
              <a:lumOff val="40000"/>
            </a:schemeClr>
          </a:solidFill>
          <a:ln w="19050">
            <a:solidFill>
              <a:schemeClr val="lt1"/>
            </a:solidFill>
          </a:ln>
          <a:effectLst/>
        </c:spPr>
      </c:pivotFmt>
      <c:pivotFmt>
        <c:idx val="17"/>
        <c:spPr>
          <a:solidFill>
            <a:schemeClr val="accent6">
              <a:lumMod val="75000"/>
            </a:schemeClr>
          </a:solidFill>
          <a:ln w="19050">
            <a:solidFill>
              <a:schemeClr val="lt1"/>
            </a:solidFill>
          </a:ln>
          <a:effectLst/>
        </c:spPr>
      </c:pivotFmt>
    </c:pivotFmts>
    <c:plotArea>
      <c:layout/>
      <c:pieChart>
        <c:varyColors val="1"/>
        <c:ser>
          <c:idx val="0"/>
          <c:order val="0"/>
          <c:tx>
            <c:strRef>
              <c:f>Analyze!$G$38</c:f>
              <c:strCache>
                <c:ptCount val="1"/>
                <c:pt idx="0">
                  <c:v>Total</c:v>
                </c:pt>
              </c:strCache>
            </c:strRef>
          </c:tx>
          <c:spPr>
            <a:solidFill>
              <a:schemeClr val="accent6">
                <a:lumMod val="40000"/>
                <a:lumOff val="6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6B9-4460-8DE9-3E1DDE52AC8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A6B9-4460-8DE9-3E1DDE52AC80}"/>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A6B9-4460-8DE9-3E1DDE52AC80}"/>
              </c:ext>
            </c:extLst>
          </c:dPt>
          <c:dLbls>
            <c:dLbl>
              <c:idx val="2"/>
              <c:layout>
                <c:manualLayout>
                  <c:x val="-0.11764705882352941"/>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A6B9-4460-8DE9-3E1DDE52AC8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Analyze!$F$39:$F$42</c:f>
              <c:strCache>
                <c:ptCount val="3"/>
                <c:pt idx="0">
                  <c:v>Female</c:v>
                </c:pt>
                <c:pt idx="1">
                  <c:v>Male</c:v>
                </c:pt>
                <c:pt idx="2">
                  <c:v>Unknown</c:v>
                </c:pt>
              </c:strCache>
            </c:strRef>
          </c:cat>
          <c:val>
            <c:numRef>
              <c:f>Analyze!$G$39:$G$42</c:f>
              <c:numCache>
                <c:formatCode>General</c:formatCode>
                <c:ptCount val="3"/>
                <c:pt idx="0">
                  <c:v>56</c:v>
                </c:pt>
                <c:pt idx="1">
                  <c:v>53</c:v>
                </c:pt>
                <c:pt idx="2">
                  <c:v>11</c:v>
                </c:pt>
              </c:numCache>
            </c:numRef>
          </c:val>
          <c:extLst>
            <c:ext xmlns:c16="http://schemas.microsoft.com/office/drawing/2014/chart" uri="{C3380CC4-5D6E-409C-BE32-E72D297353CC}">
              <c16:uniqueId val="{00000006-A6B9-4460-8DE9-3E1DDE52AC8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t>Production Efficiency Analysis</a:t>
            </a:r>
            <a:endParaRPr lang="en-IN"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lumMod val="75000"/>
                </a:schemeClr>
              </a:solidFill>
              <a:ln w="9525">
                <a:solidFill>
                  <a:schemeClr val="accent1"/>
                </a:solidFill>
              </a:ln>
              <a:effectLst/>
            </c:spPr>
          </c:marker>
          <c:xVal>
            <c:numRef>
              <c:f>Analyze!$F$55:$F$165</c:f>
              <c:numCache>
                <c:formatCode>General</c:formatCode>
                <c:ptCount val="111"/>
                <c:pt idx="0">
                  <c:v>32</c:v>
                </c:pt>
                <c:pt idx="1">
                  <c:v>51</c:v>
                </c:pt>
                <c:pt idx="2">
                  <c:v>55</c:v>
                </c:pt>
                <c:pt idx="3">
                  <c:v>60</c:v>
                </c:pt>
                <c:pt idx="4">
                  <c:v>62</c:v>
                </c:pt>
                <c:pt idx="5">
                  <c:v>63</c:v>
                </c:pt>
                <c:pt idx="6">
                  <c:v>68</c:v>
                </c:pt>
                <c:pt idx="7">
                  <c:v>74</c:v>
                </c:pt>
                <c:pt idx="8">
                  <c:v>79</c:v>
                </c:pt>
                <c:pt idx="9">
                  <c:v>81</c:v>
                </c:pt>
                <c:pt idx="10">
                  <c:v>84</c:v>
                </c:pt>
                <c:pt idx="11">
                  <c:v>86</c:v>
                </c:pt>
                <c:pt idx="12">
                  <c:v>90</c:v>
                </c:pt>
                <c:pt idx="13">
                  <c:v>95</c:v>
                </c:pt>
                <c:pt idx="14">
                  <c:v>97</c:v>
                </c:pt>
                <c:pt idx="15">
                  <c:v>115</c:v>
                </c:pt>
                <c:pt idx="16">
                  <c:v>126</c:v>
                </c:pt>
                <c:pt idx="17">
                  <c:v>128</c:v>
                </c:pt>
                <c:pt idx="18">
                  <c:v>130</c:v>
                </c:pt>
                <c:pt idx="19">
                  <c:v>145</c:v>
                </c:pt>
                <c:pt idx="20">
                  <c:v>151</c:v>
                </c:pt>
                <c:pt idx="21">
                  <c:v>155</c:v>
                </c:pt>
                <c:pt idx="22">
                  <c:v>160</c:v>
                </c:pt>
                <c:pt idx="23">
                  <c:v>165</c:v>
                </c:pt>
                <c:pt idx="24">
                  <c:v>173</c:v>
                </c:pt>
                <c:pt idx="25">
                  <c:v>177</c:v>
                </c:pt>
                <c:pt idx="26">
                  <c:v>178</c:v>
                </c:pt>
                <c:pt idx="27">
                  <c:v>180</c:v>
                </c:pt>
                <c:pt idx="28">
                  <c:v>183</c:v>
                </c:pt>
                <c:pt idx="29">
                  <c:v>188</c:v>
                </c:pt>
                <c:pt idx="30">
                  <c:v>190</c:v>
                </c:pt>
                <c:pt idx="31">
                  <c:v>192</c:v>
                </c:pt>
                <c:pt idx="32">
                  <c:v>193</c:v>
                </c:pt>
                <c:pt idx="33">
                  <c:v>199</c:v>
                </c:pt>
                <c:pt idx="34">
                  <c:v>208</c:v>
                </c:pt>
                <c:pt idx="35">
                  <c:v>209</c:v>
                </c:pt>
                <c:pt idx="36">
                  <c:v>213</c:v>
                </c:pt>
                <c:pt idx="37">
                  <c:v>214</c:v>
                </c:pt>
                <c:pt idx="38">
                  <c:v>216</c:v>
                </c:pt>
                <c:pt idx="39">
                  <c:v>218</c:v>
                </c:pt>
                <c:pt idx="40">
                  <c:v>222</c:v>
                </c:pt>
                <c:pt idx="41">
                  <c:v>231</c:v>
                </c:pt>
                <c:pt idx="42">
                  <c:v>236</c:v>
                </c:pt>
                <c:pt idx="43">
                  <c:v>240</c:v>
                </c:pt>
                <c:pt idx="44">
                  <c:v>248</c:v>
                </c:pt>
                <c:pt idx="45">
                  <c:v>250</c:v>
                </c:pt>
                <c:pt idx="46">
                  <c:v>255</c:v>
                </c:pt>
                <c:pt idx="47">
                  <c:v>260</c:v>
                </c:pt>
                <c:pt idx="48">
                  <c:v>264</c:v>
                </c:pt>
                <c:pt idx="49">
                  <c:v>265</c:v>
                </c:pt>
                <c:pt idx="50">
                  <c:v>288</c:v>
                </c:pt>
                <c:pt idx="51">
                  <c:v>289</c:v>
                </c:pt>
                <c:pt idx="52">
                  <c:v>290</c:v>
                </c:pt>
                <c:pt idx="53">
                  <c:v>305</c:v>
                </c:pt>
                <c:pt idx="54">
                  <c:v>306</c:v>
                </c:pt>
                <c:pt idx="55">
                  <c:v>307</c:v>
                </c:pt>
                <c:pt idx="56">
                  <c:v>308</c:v>
                </c:pt>
                <c:pt idx="57">
                  <c:v>318</c:v>
                </c:pt>
                <c:pt idx="58">
                  <c:v>319</c:v>
                </c:pt>
                <c:pt idx="59">
                  <c:v>322</c:v>
                </c:pt>
                <c:pt idx="60">
                  <c:v>331</c:v>
                </c:pt>
                <c:pt idx="61">
                  <c:v>332</c:v>
                </c:pt>
                <c:pt idx="62">
                  <c:v>333</c:v>
                </c:pt>
                <c:pt idx="63">
                  <c:v>335</c:v>
                </c:pt>
                <c:pt idx="64">
                  <c:v>343</c:v>
                </c:pt>
                <c:pt idx="65">
                  <c:v>344</c:v>
                </c:pt>
                <c:pt idx="66">
                  <c:v>354</c:v>
                </c:pt>
                <c:pt idx="67">
                  <c:v>358</c:v>
                </c:pt>
                <c:pt idx="68">
                  <c:v>359</c:v>
                </c:pt>
                <c:pt idx="69">
                  <c:v>363</c:v>
                </c:pt>
                <c:pt idx="70">
                  <c:v>366</c:v>
                </c:pt>
                <c:pt idx="71">
                  <c:v>368</c:v>
                </c:pt>
                <c:pt idx="72">
                  <c:v>369</c:v>
                </c:pt>
                <c:pt idx="73">
                  <c:v>376</c:v>
                </c:pt>
                <c:pt idx="74">
                  <c:v>380</c:v>
                </c:pt>
                <c:pt idx="75">
                  <c:v>382</c:v>
                </c:pt>
                <c:pt idx="76">
                  <c:v>383</c:v>
                </c:pt>
                <c:pt idx="77">
                  <c:v>384</c:v>
                </c:pt>
                <c:pt idx="78">
                  <c:v>386</c:v>
                </c:pt>
                <c:pt idx="79">
                  <c:v>389</c:v>
                </c:pt>
                <c:pt idx="80">
                  <c:v>396</c:v>
                </c:pt>
                <c:pt idx="81">
                  <c:v>401</c:v>
                </c:pt>
                <c:pt idx="82">
                  <c:v>404</c:v>
                </c:pt>
                <c:pt idx="83">
                  <c:v>406</c:v>
                </c:pt>
                <c:pt idx="84">
                  <c:v>412</c:v>
                </c:pt>
                <c:pt idx="85">
                  <c:v>422</c:v>
                </c:pt>
                <c:pt idx="86">
                  <c:v>429</c:v>
                </c:pt>
                <c:pt idx="87">
                  <c:v>430</c:v>
                </c:pt>
                <c:pt idx="88">
                  <c:v>435</c:v>
                </c:pt>
                <c:pt idx="89">
                  <c:v>439</c:v>
                </c:pt>
                <c:pt idx="90">
                  <c:v>443</c:v>
                </c:pt>
                <c:pt idx="91">
                  <c:v>444</c:v>
                </c:pt>
                <c:pt idx="92">
                  <c:v>447</c:v>
                </c:pt>
                <c:pt idx="93">
                  <c:v>458</c:v>
                </c:pt>
                <c:pt idx="94">
                  <c:v>459</c:v>
                </c:pt>
                <c:pt idx="95">
                  <c:v>460</c:v>
                </c:pt>
                <c:pt idx="96">
                  <c:v>462</c:v>
                </c:pt>
                <c:pt idx="97">
                  <c:v>465</c:v>
                </c:pt>
                <c:pt idx="98">
                  <c:v>478</c:v>
                </c:pt>
                <c:pt idx="99">
                  <c:v>491</c:v>
                </c:pt>
                <c:pt idx="100">
                  <c:v>494</c:v>
                </c:pt>
                <c:pt idx="101">
                  <c:v>495</c:v>
                </c:pt>
                <c:pt idx="102">
                  <c:v>497</c:v>
                </c:pt>
                <c:pt idx="103">
                  <c:v>499</c:v>
                </c:pt>
                <c:pt idx="104">
                  <c:v>511</c:v>
                </c:pt>
                <c:pt idx="105">
                  <c:v>519</c:v>
                </c:pt>
                <c:pt idx="106">
                  <c:v>527</c:v>
                </c:pt>
                <c:pt idx="107">
                  <c:v>535</c:v>
                </c:pt>
                <c:pt idx="108">
                  <c:v>541</c:v>
                </c:pt>
                <c:pt idx="109">
                  <c:v>545</c:v>
                </c:pt>
                <c:pt idx="110">
                  <c:v>666</c:v>
                </c:pt>
              </c:numCache>
            </c:numRef>
          </c:xVal>
          <c:yVal>
            <c:numRef>
              <c:f>Analyze!$G$55:$G$165</c:f>
              <c:numCache>
                <c:formatCode>General</c:formatCode>
                <c:ptCount val="111"/>
                <c:pt idx="0">
                  <c:v>3132</c:v>
                </c:pt>
                <c:pt idx="1">
                  <c:v>92168</c:v>
                </c:pt>
                <c:pt idx="2">
                  <c:v>25893</c:v>
                </c:pt>
                <c:pt idx="3">
                  <c:v>5822</c:v>
                </c:pt>
                <c:pt idx="4">
                  <c:v>31500</c:v>
                </c:pt>
                <c:pt idx="5">
                  <c:v>3960</c:v>
                </c:pt>
                <c:pt idx="6">
                  <c:v>11696</c:v>
                </c:pt>
                <c:pt idx="7">
                  <c:v>36708</c:v>
                </c:pt>
                <c:pt idx="8">
                  <c:v>11078</c:v>
                </c:pt>
                <c:pt idx="9">
                  <c:v>31414</c:v>
                </c:pt>
                <c:pt idx="10">
                  <c:v>10688</c:v>
                </c:pt>
                <c:pt idx="11">
                  <c:v>25853</c:v>
                </c:pt>
                <c:pt idx="12">
                  <c:v>42328</c:v>
                </c:pt>
                <c:pt idx="13">
                  <c:v>46800</c:v>
                </c:pt>
                <c:pt idx="14">
                  <c:v>1358</c:v>
                </c:pt>
                <c:pt idx="15">
                  <c:v>48880</c:v>
                </c:pt>
                <c:pt idx="16">
                  <c:v>40446</c:v>
                </c:pt>
                <c:pt idx="17">
                  <c:v>35767</c:v>
                </c:pt>
                <c:pt idx="18">
                  <c:v>16740</c:v>
                </c:pt>
                <c:pt idx="19">
                  <c:v>43615</c:v>
                </c:pt>
                <c:pt idx="20">
                  <c:v>8475</c:v>
                </c:pt>
                <c:pt idx="21">
                  <c:v>11092</c:v>
                </c:pt>
                <c:pt idx="22">
                  <c:v>59248</c:v>
                </c:pt>
                <c:pt idx="23">
                  <c:v>679</c:v>
                </c:pt>
                <c:pt idx="24">
                  <c:v>24549</c:v>
                </c:pt>
                <c:pt idx="25">
                  <c:v>30600</c:v>
                </c:pt>
                <c:pt idx="26">
                  <c:v>42028</c:v>
                </c:pt>
                <c:pt idx="27">
                  <c:v>33684</c:v>
                </c:pt>
                <c:pt idx="28">
                  <c:v>679</c:v>
                </c:pt>
                <c:pt idx="29">
                  <c:v>679</c:v>
                </c:pt>
                <c:pt idx="30">
                  <c:v>28050</c:v>
                </c:pt>
                <c:pt idx="31">
                  <c:v>18648</c:v>
                </c:pt>
                <c:pt idx="32">
                  <c:v>18796</c:v>
                </c:pt>
                <c:pt idx="33">
                  <c:v>56118</c:v>
                </c:pt>
                <c:pt idx="34">
                  <c:v>25758</c:v>
                </c:pt>
                <c:pt idx="35">
                  <c:v>51221</c:v>
                </c:pt>
                <c:pt idx="36">
                  <c:v>42028</c:v>
                </c:pt>
                <c:pt idx="37">
                  <c:v>48060</c:v>
                </c:pt>
                <c:pt idx="38">
                  <c:v>36934</c:v>
                </c:pt>
                <c:pt idx="39">
                  <c:v>7125</c:v>
                </c:pt>
                <c:pt idx="40">
                  <c:v>17500</c:v>
                </c:pt>
                <c:pt idx="41">
                  <c:v>32045</c:v>
                </c:pt>
                <c:pt idx="42">
                  <c:v>679</c:v>
                </c:pt>
                <c:pt idx="43">
                  <c:v>65052</c:v>
                </c:pt>
                <c:pt idx="44">
                  <c:v>12870</c:v>
                </c:pt>
                <c:pt idx="45">
                  <c:v>11385</c:v>
                </c:pt>
                <c:pt idx="46">
                  <c:v>57706</c:v>
                </c:pt>
                <c:pt idx="47">
                  <c:v>34680</c:v>
                </c:pt>
                <c:pt idx="48">
                  <c:v>75332</c:v>
                </c:pt>
                <c:pt idx="49">
                  <c:v>12320</c:v>
                </c:pt>
                <c:pt idx="50">
                  <c:v>33284</c:v>
                </c:pt>
                <c:pt idx="51">
                  <c:v>24948</c:v>
                </c:pt>
                <c:pt idx="52">
                  <c:v>15132</c:v>
                </c:pt>
                <c:pt idx="53">
                  <c:v>3186</c:v>
                </c:pt>
                <c:pt idx="54">
                  <c:v>679</c:v>
                </c:pt>
                <c:pt idx="55">
                  <c:v>679</c:v>
                </c:pt>
                <c:pt idx="56">
                  <c:v>27956</c:v>
                </c:pt>
                <c:pt idx="57">
                  <c:v>16864</c:v>
                </c:pt>
                <c:pt idx="58">
                  <c:v>4221</c:v>
                </c:pt>
                <c:pt idx="59">
                  <c:v>29440</c:v>
                </c:pt>
                <c:pt idx="60">
                  <c:v>27140</c:v>
                </c:pt>
                <c:pt idx="61">
                  <c:v>679</c:v>
                </c:pt>
                <c:pt idx="62">
                  <c:v>48000</c:v>
                </c:pt>
                <c:pt idx="63">
                  <c:v>36984</c:v>
                </c:pt>
                <c:pt idx="64">
                  <c:v>33344</c:v>
                </c:pt>
                <c:pt idx="65">
                  <c:v>13872</c:v>
                </c:pt>
                <c:pt idx="66">
                  <c:v>679</c:v>
                </c:pt>
                <c:pt idx="67">
                  <c:v>13568</c:v>
                </c:pt>
                <c:pt idx="68">
                  <c:v>12753</c:v>
                </c:pt>
                <c:pt idx="69">
                  <c:v>38232</c:v>
                </c:pt>
                <c:pt idx="70">
                  <c:v>4131</c:v>
                </c:pt>
                <c:pt idx="71">
                  <c:v>71322</c:v>
                </c:pt>
                <c:pt idx="72">
                  <c:v>5246</c:v>
                </c:pt>
                <c:pt idx="73">
                  <c:v>679</c:v>
                </c:pt>
                <c:pt idx="74">
                  <c:v>44525</c:v>
                </c:pt>
                <c:pt idx="75">
                  <c:v>37490</c:v>
                </c:pt>
                <c:pt idx="76">
                  <c:v>39008</c:v>
                </c:pt>
                <c:pt idx="77">
                  <c:v>40565</c:v>
                </c:pt>
                <c:pt idx="78">
                  <c:v>47952</c:v>
                </c:pt>
                <c:pt idx="79">
                  <c:v>37744</c:v>
                </c:pt>
                <c:pt idx="80">
                  <c:v>38480</c:v>
                </c:pt>
                <c:pt idx="81">
                  <c:v>19691</c:v>
                </c:pt>
                <c:pt idx="82">
                  <c:v>13310</c:v>
                </c:pt>
                <c:pt idx="83">
                  <c:v>47880</c:v>
                </c:pt>
                <c:pt idx="84">
                  <c:v>22288</c:v>
                </c:pt>
                <c:pt idx="85">
                  <c:v>13490</c:v>
                </c:pt>
                <c:pt idx="86">
                  <c:v>58208</c:v>
                </c:pt>
                <c:pt idx="87">
                  <c:v>66500</c:v>
                </c:pt>
                <c:pt idx="88">
                  <c:v>64090</c:v>
                </c:pt>
                <c:pt idx="89">
                  <c:v>31392</c:v>
                </c:pt>
                <c:pt idx="90">
                  <c:v>50652</c:v>
                </c:pt>
                <c:pt idx="91">
                  <c:v>7272</c:v>
                </c:pt>
                <c:pt idx="92">
                  <c:v>52269</c:v>
                </c:pt>
                <c:pt idx="93">
                  <c:v>42873</c:v>
                </c:pt>
                <c:pt idx="94">
                  <c:v>17069</c:v>
                </c:pt>
                <c:pt idx="95">
                  <c:v>50274</c:v>
                </c:pt>
                <c:pt idx="96">
                  <c:v>26145</c:v>
                </c:pt>
                <c:pt idx="97">
                  <c:v>679</c:v>
                </c:pt>
                <c:pt idx="98">
                  <c:v>76076</c:v>
                </c:pt>
                <c:pt idx="99">
                  <c:v>59458</c:v>
                </c:pt>
                <c:pt idx="100">
                  <c:v>46767</c:v>
                </c:pt>
                <c:pt idx="101">
                  <c:v>679</c:v>
                </c:pt>
                <c:pt idx="102">
                  <c:v>46548</c:v>
                </c:pt>
                <c:pt idx="103">
                  <c:v>48316</c:v>
                </c:pt>
                <c:pt idx="104">
                  <c:v>17377</c:v>
                </c:pt>
                <c:pt idx="105">
                  <c:v>45312</c:v>
                </c:pt>
                <c:pt idx="106">
                  <c:v>51168</c:v>
                </c:pt>
                <c:pt idx="107">
                  <c:v>44330</c:v>
                </c:pt>
                <c:pt idx="108">
                  <c:v>42432</c:v>
                </c:pt>
                <c:pt idx="109">
                  <c:v>65250</c:v>
                </c:pt>
                <c:pt idx="110">
                  <c:v>64635</c:v>
                </c:pt>
              </c:numCache>
            </c:numRef>
          </c:yVal>
          <c:smooth val="0"/>
          <c:extLst>
            <c:ext xmlns:c16="http://schemas.microsoft.com/office/drawing/2014/chart" uri="{C3380CC4-5D6E-409C-BE32-E72D297353CC}">
              <c16:uniqueId val="{00000000-5EA9-4510-A7AC-7703772F7D35}"/>
            </c:ext>
          </c:extLst>
        </c:ser>
        <c:dLbls>
          <c:showLegendKey val="0"/>
          <c:showVal val="0"/>
          <c:showCatName val="0"/>
          <c:showSerName val="0"/>
          <c:showPercent val="0"/>
          <c:showBubbleSize val="0"/>
        </c:dLbls>
        <c:axId val="2129225552"/>
        <c:axId val="2129235536"/>
      </c:scatterChart>
      <c:valAx>
        <c:axId val="21292255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35536"/>
        <c:crosses val="autoZero"/>
        <c:crossBetween val="midCat"/>
      </c:valAx>
      <c:valAx>
        <c:axId val="21292355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2255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Dashboard.xlsx]Analyze!PivotTable2</c:name>
    <c:fmtId val="3"/>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Montly</a:t>
            </a:r>
            <a:r>
              <a:rPr lang="en-US" b="1" u="sng" baseline="0"/>
              <a:t> Production Trend</a:t>
            </a:r>
            <a:endParaRPr lang="en-US" b="1" u="sng"/>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60000"/>
                <a:lumOff val="40000"/>
              </a:schemeClr>
            </a:solidFill>
            <a:round/>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pivotFmt>
      <c:pivotFmt>
        <c:idx val="4"/>
        <c:spPr>
          <a:solidFill>
            <a:schemeClr val="accent1"/>
          </a:solidFill>
          <a:ln w="28575" cap="rnd">
            <a:solidFill>
              <a:schemeClr val="accent6">
                <a:lumMod val="60000"/>
                <a:lumOff val="40000"/>
              </a:schemeClr>
            </a:solidFill>
            <a:round/>
          </a:ln>
          <a:effectLst/>
        </c:spPr>
        <c:marker>
          <c:symbol val="none"/>
        </c:marker>
      </c:pivotFmt>
      <c:pivotFmt>
        <c:idx val="5"/>
        <c:spPr>
          <a:ln w="28575" cap="rnd">
            <a:solidFill>
              <a:schemeClr val="accent6">
                <a:lumMod val="60000"/>
                <a:lumOff val="40000"/>
              </a:schemeClr>
            </a:solidFill>
            <a:round/>
          </a:ln>
          <a:effectLst/>
        </c:spPr>
        <c:marker>
          <c:symbol val="none"/>
        </c:marker>
      </c:pivotFmt>
    </c:pivotFmts>
    <c:plotArea>
      <c:layout/>
      <c:lineChart>
        <c:grouping val="standard"/>
        <c:varyColors val="0"/>
        <c:ser>
          <c:idx val="0"/>
          <c:order val="0"/>
          <c:tx>
            <c:strRef>
              <c:f>Analyze!$B$7</c:f>
              <c:strCache>
                <c:ptCount val="1"/>
                <c:pt idx="0">
                  <c:v>Total</c:v>
                </c:pt>
              </c:strCache>
            </c:strRef>
          </c:tx>
          <c:spPr>
            <a:ln w="28575" cap="rnd">
              <a:solidFill>
                <a:schemeClr val="accent6">
                  <a:lumMod val="60000"/>
                  <a:lumOff val="40000"/>
                </a:schemeClr>
              </a:solidFill>
              <a:round/>
            </a:ln>
            <a:effectLst/>
          </c:spPr>
          <c:marker>
            <c:symbol val="none"/>
          </c:marker>
          <c:cat>
            <c:strRef>
              <c:f>Analyze!$A$8:$A$20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Analyze!$B$8:$B$20</c:f>
              <c:numCache>
                <c:formatCode>General</c:formatCode>
                <c:ptCount val="12"/>
                <c:pt idx="0">
                  <c:v>3026</c:v>
                </c:pt>
                <c:pt idx="1">
                  <c:v>4127</c:v>
                </c:pt>
                <c:pt idx="2">
                  <c:v>3875</c:v>
                </c:pt>
                <c:pt idx="3">
                  <c:v>1528</c:v>
                </c:pt>
                <c:pt idx="4">
                  <c:v>1684</c:v>
                </c:pt>
                <c:pt idx="5">
                  <c:v>3537</c:v>
                </c:pt>
                <c:pt idx="6">
                  <c:v>1536</c:v>
                </c:pt>
                <c:pt idx="7">
                  <c:v>2864</c:v>
                </c:pt>
                <c:pt idx="8">
                  <c:v>2150</c:v>
                </c:pt>
                <c:pt idx="9">
                  <c:v>3103</c:v>
                </c:pt>
                <c:pt idx="10">
                  <c:v>4803</c:v>
                </c:pt>
                <c:pt idx="11">
                  <c:v>2494</c:v>
                </c:pt>
              </c:numCache>
            </c:numRef>
          </c:val>
          <c:smooth val="0"/>
          <c:extLst>
            <c:ext xmlns:c16="http://schemas.microsoft.com/office/drawing/2014/chart" uri="{C3380CC4-5D6E-409C-BE32-E72D297353CC}">
              <c16:uniqueId val="{00000000-3341-4CD2-902D-F52450054A6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08967152"/>
        <c:axId val="2108967984"/>
      </c:lineChart>
      <c:catAx>
        <c:axId val="210896715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8967984"/>
        <c:crosses val="autoZero"/>
        <c:auto val="1"/>
        <c:lblAlgn val="ctr"/>
        <c:lblOffset val="100"/>
        <c:noMultiLvlLbl val="0"/>
      </c:catAx>
      <c:valAx>
        <c:axId val="210896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8967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Production Analytics &amp; Cost Optimization Dashboard.xlsx]Analyze!PivotTable8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Cost</a:t>
            </a:r>
            <a:r>
              <a:rPr lang="en-IN" b="1" u="sng" baseline="0"/>
              <a:t> Analysis</a:t>
            </a:r>
            <a:endParaRPr lang="en-IN" b="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6">
              <a:lumMod val="60000"/>
              <a:lumOff val="40000"/>
            </a:schemeClr>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6">
              <a:lumMod val="60000"/>
              <a:lumOff val="40000"/>
            </a:schemeClr>
          </a:solidFill>
          <a:ln>
            <a:noFill/>
          </a:ln>
          <a:effectLst/>
        </c:spPr>
        <c:marker>
          <c:symbol val="none"/>
        </c:marker>
      </c:pivotFmt>
      <c:pivotFmt>
        <c:idx val="7"/>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pivotFmt>
    </c:pivotFmts>
    <c:plotArea>
      <c:layout/>
      <c:barChart>
        <c:barDir val="col"/>
        <c:grouping val="clustered"/>
        <c:varyColors val="0"/>
        <c:ser>
          <c:idx val="1"/>
          <c:order val="1"/>
          <c:tx>
            <c:strRef>
              <c:f>Analyze!$C$38</c:f>
              <c:strCache>
                <c:ptCount val="1"/>
                <c:pt idx="0">
                  <c:v>Sum of TotalCost</c:v>
                </c:pt>
              </c:strCache>
            </c:strRef>
          </c:tx>
          <c:spPr>
            <a:solidFill>
              <a:schemeClr val="accent6">
                <a:lumMod val="60000"/>
                <a:lumOff val="40000"/>
              </a:schemeClr>
            </a:solidFill>
            <a:ln>
              <a:noFill/>
            </a:ln>
            <a:effectLst/>
          </c:spPr>
          <c:invertIfNegative val="0"/>
          <c:cat>
            <c:strRef>
              <c:f>Analyze!$A$39:$A$43</c:f>
              <c:strCache>
                <c:ptCount val="4"/>
                <c:pt idx="0">
                  <c:v>Automobiles</c:v>
                </c:pt>
                <c:pt idx="1">
                  <c:v>Electronics</c:v>
                </c:pt>
                <c:pt idx="2">
                  <c:v>Furniture</c:v>
                </c:pt>
                <c:pt idx="3">
                  <c:v>Machinery</c:v>
                </c:pt>
              </c:strCache>
            </c:strRef>
          </c:cat>
          <c:val>
            <c:numRef>
              <c:f>Analyze!$C$39:$C$43</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0542-488E-8DAD-E927F2CA34E7}"/>
            </c:ext>
          </c:extLst>
        </c:ser>
        <c:dLbls>
          <c:showLegendKey val="0"/>
          <c:showVal val="0"/>
          <c:showCatName val="0"/>
          <c:showSerName val="0"/>
          <c:showPercent val="0"/>
          <c:showBubbleSize val="0"/>
        </c:dLbls>
        <c:gapWidth val="219"/>
        <c:axId val="2109879888"/>
        <c:axId val="2109890288"/>
      </c:barChart>
      <c:lineChart>
        <c:grouping val="standard"/>
        <c:varyColors val="0"/>
        <c:ser>
          <c:idx val="0"/>
          <c:order val="0"/>
          <c:tx>
            <c:strRef>
              <c:f>Analyze!$B$38</c:f>
              <c:strCache>
                <c:ptCount val="1"/>
                <c:pt idx="0">
                  <c:v>Sum of UnitsProduced</c:v>
                </c:pt>
              </c:strCache>
            </c:strRef>
          </c:tx>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cat>
            <c:strRef>
              <c:f>Analyze!$A$39:$A$43</c:f>
              <c:strCache>
                <c:ptCount val="4"/>
                <c:pt idx="0">
                  <c:v>Automobiles</c:v>
                </c:pt>
                <c:pt idx="1">
                  <c:v>Electronics</c:v>
                </c:pt>
                <c:pt idx="2">
                  <c:v>Furniture</c:v>
                </c:pt>
                <c:pt idx="3">
                  <c:v>Machinery</c:v>
                </c:pt>
              </c:strCache>
            </c:strRef>
          </c:cat>
          <c:val>
            <c:numRef>
              <c:f>Analyze!$B$39:$B$43</c:f>
              <c:numCache>
                <c:formatCode>General</c:formatCode>
                <c:ptCount val="4"/>
                <c:pt idx="0">
                  <c:v>13137</c:v>
                </c:pt>
                <c:pt idx="1">
                  <c:v>6907</c:v>
                </c:pt>
                <c:pt idx="2">
                  <c:v>5274</c:v>
                </c:pt>
                <c:pt idx="3">
                  <c:v>9409</c:v>
                </c:pt>
              </c:numCache>
            </c:numRef>
          </c:val>
          <c:smooth val="0"/>
          <c:extLst>
            <c:ext xmlns:c16="http://schemas.microsoft.com/office/drawing/2014/chart" uri="{C3380CC4-5D6E-409C-BE32-E72D297353CC}">
              <c16:uniqueId val="{00000001-0542-488E-8DAD-E927F2CA34E7}"/>
            </c:ext>
          </c:extLst>
        </c:ser>
        <c:dLbls>
          <c:showLegendKey val="0"/>
          <c:showVal val="0"/>
          <c:showCatName val="0"/>
          <c:showSerName val="0"/>
          <c:showPercent val="0"/>
          <c:showBubbleSize val="0"/>
        </c:dLbls>
        <c:marker val="1"/>
        <c:smooth val="0"/>
        <c:axId val="2109884048"/>
        <c:axId val="2109882384"/>
      </c:lineChart>
      <c:valAx>
        <c:axId val="2109890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79888"/>
        <c:crosses val="max"/>
        <c:crossBetween val="between"/>
      </c:valAx>
      <c:catAx>
        <c:axId val="21098798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90288"/>
        <c:crosses val="autoZero"/>
        <c:auto val="1"/>
        <c:lblAlgn val="ctr"/>
        <c:lblOffset val="100"/>
        <c:noMultiLvlLbl val="0"/>
      </c:catAx>
      <c:valAx>
        <c:axId val="2109882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884048"/>
        <c:crosses val="autoZero"/>
        <c:crossBetween val="between"/>
      </c:valAx>
      <c:catAx>
        <c:axId val="2109884048"/>
        <c:scaling>
          <c:orientation val="minMax"/>
        </c:scaling>
        <c:delete val="1"/>
        <c:axPos val="t"/>
        <c:numFmt formatCode="General" sourceLinked="1"/>
        <c:majorTickMark val="out"/>
        <c:minorTickMark val="none"/>
        <c:tickLblPos val="nextTo"/>
        <c:crossAx val="2109882384"/>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6350</xdr:colOff>
      <xdr:row>4</xdr:row>
      <xdr:rowOff>180975</xdr:rowOff>
    </xdr:from>
    <xdr:to>
      <xdr:col>3</xdr:col>
      <xdr:colOff>425450</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1381125</xdr:colOff>
      <xdr:row>5</xdr:row>
      <xdr:rowOff>3175</xdr:rowOff>
    </xdr:from>
    <xdr:to>
      <xdr:col>7</xdr:col>
      <xdr:colOff>415925</xdr:colOff>
      <xdr:row>19</xdr:row>
      <xdr:rowOff>168275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180975</xdr:rowOff>
    </xdr:from>
    <xdr:to>
      <xdr:col>3</xdr:col>
      <xdr:colOff>419100</xdr:colOff>
      <xdr:row>35</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15875</xdr:colOff>
      <xdr:row>21</xdr:row>
      <xdr:rowOff>3175</xdr:rowOff>
    </xdr:from>
    <xdr:to>
      <xdr:col>7</xdr:col>
      <xdr:colOff>434975</xdr:colOff>
      <xdr:row>35</xdr:row>
      <xdr:rowOff>168275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36</xdr:row>
      <xdr:rowOff>180975</xdr:rowOff>
    </xdr:from>
    <xdr:to>
      <xdr:col>3</xdr:col>
      <xdr:colOff>1285875</xdr:colOff>
      <xdr:row>51</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9525</xdr:colOff>
      <xdr:row>36</xdr:row>
      <xdr:rowOff>180975</xdr:rowOff>
    </xdr:from>
    <xdr:to>
      <xdr:col>8</xdr:col>
      <xdr:colOff>428625</xdr:colOff>
      <xdr:row>51</xdr:row>
      <xdr:rowOff>161925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52</xdr:row>
      <xdr:rowOff>168275</xdr:rowOff>
    </xdr:from>
    <xdr:to>
      <xdr:col>3</xdr:col>
      <xdr:colOff>419100</xdr:colOff>
      <xdr:row>67</xdr:row>
      <xdr:rowOff>149225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9525</xdr:colOff>
      <xdr:row>53</xdr:row>
      <xdr:rowOff>3175</xdr:rowOff>
    </xdr:from>
    <xdr:to>
      <xdr:col>10</xdr:col>
      <xdr:colOff>47625</xdr:colOff>
      <xdr:row>67</xdr:row>
      <xdr:rowOff>168275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622300</xdr:colOff>
      <xdr:row>0</xdr:row>
      <xdr:rowOff>12700</xdr:rowOff>
    </xdr:from>
    <xdr:to>
      <xdr:col>9</xdr:col>
      <xdr:colOff>457200</xdr:colOff>
      <xdr:row>13</xdr:row>
      <xdr:rowOff>142875</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70950" y="1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622300</xdr:colOff>
      <xdr:row>13</xdr:row>
      <xdr:rowOff>177800</xdr:rowOff>
    </xdr:from>
    <xdr:to>
      <xdr:col>9</xdr:col>
      <xdr:colOff>457200</xdr:colOff>
      <xdr:row>27</xdr:row>
      <xdr:rowOff>123825</xdr:rowOff>
    </xdr:to>
    <mc:AlternateContent xmlns:mc="http://schemas.openxmlformats.org/markup-compatibility/2006" xmlns:a14="http://schemas.microsoft.com/office/drawing/2010/main">
      <mc:Choice Requires="a14">
        <xdr:graphicFrame macro="">
          <xdr:nvGraphicFramePr>
            <xdr:cNvPr id="12" name="ProductType"/>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mlns="">
        <xdr:sp macro="" textlink="">
          <xdr:nvSpPr>
            <xdr:cNvPr id="0" name=""/>
            <xdr:cNvSpPr>
              <a:spLocks noTextEdit="1"/>
            </xdr:cNvSpPr>
          </xdr:nvSpPr>
          <xdr:spPr>
            <a:xfrm>
              <a:off x="8870950" y="2571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641350</xdr:colOff>
      <xdr:row>27</xdr:row>
      <xdr:rowOff>171450</xdr:rowOff>
    </xdr:from>
    <xdr:to>
      <xdr:col>9</xdr:col>
      <xdr:colOff>476250</xdr:colOff>
      <xdr:row>41</xdr:row>
      <xdr:rowOff>117475</xdr:rowOff>
    </xdr:to>
    <mc:AlternateContent xmlns:mc="http://schemas.openxmlformats.org/markup-compatibility/2006" xmlns:a14="http://schemas.microsoft.com/office/drawing/2010/main">
      <mc:Choice Requires="a14">
        <xdr:graphicFrame macro="">
          <xdr:nvGraphicFramePr>
            <xdr:cNvPr id="13" name="Manage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8890000" y="514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41</xdr:row>
      <xdr:rowOff>165100</xdr:rowOff>
    </xdr:from>
    <xdr:to>
      <xdr:col>9</xdr:col>
      <xdr:colOff>482600</xdr:colOff>
      <xdr:row>55</xdr:row>
      <xdr:rowOff>111125</xdr:rowOff>
    </xdr:to>
    <mc:AlternateContent xmlns:mc="http://schemas.openxmlformats.org/markup-compatibility/2006" xmlns:a14="http://schemas.microsoft.com/office/drawing/2010/main">
      <mc:Choice Requires="a14">
        <xdr:graphicFrame macro="">
          <xdr:nvGraphicFramePr>
            <xdr:cNvPr id="1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96350" y="771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31750</xdr:rowOff>
    </xdr:from>
    <xdr:to>
      <xdr:col>17</xdr:col>
      <xdr:colOff>12700</xdr:colOff>
      <xdr:row>3</xdr:row>
      <xdr:rowOff>69850</xdr:rowOff>
    </xdr:to>
    <xdr:sp macro="" textlink="">
      <xdr:nvSpPr>
        <xdr:cNvPr id="2" name="Rounded Rectangle 1"/>
        <xdr:cNvSpPr/>
      </xdr:nvSpPr>
      <xdr:spPr>
        <a:xfrm>
          <a:off x="2025650" y="215900"/>
          <a:ext cx="9582150" cy="58420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n-lt"/>
            </a:rPr>
            <a:t>Manufacturing Production Analytics &amp; Cost Optimization Dashboard</a:t>
          </a:r>
        </a:p>
      </xdr:txBody>
    </xdr:sp>
    <xdr:clientData/>
  </xdr:twoCellAnchor>
  <xdr:twoCellAnchor>
    <xdr:from>
      <xdr:col>1</xdr:col>
      <xdr:colOff>184150</xdr:colOff>
      <xdr:row>4</xdr:row>
      <xdr:rowOff>120650</xdr:rowOff>
    </xdr:from>
    <xdr:to>
      <xdr:col>4</xdr:col>
      <xdr:colOff>247650</xdr:colOff>
      <xdr:row>10</xdr:row>
      <xdr:rowOff>120650</xdr:rowOff>
    </xdr:to>
    <xdr:sp macro="" textlink="">
      <xdr:nvSpPr>
        <xdr:cNvPr id="4" name="Rounded Rectangle 3"/>
        <xdr:cNvSpPr/>
      </xdr:nvSpPr>
      <xdr:spPr>
        <a:xfrm>
          <a:off x="2025650" y="1035050"/>
          <a:ext cx="1892300" cy="110490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sng">
              <a:latin typeface="+mn-lt"/>
            </a:rPr>
            <a:t>Total Units</a:t>
          </a:r>
        </a:p>
      </xdr:txBody>
    </xdr:sp>
    <xdr:clientData/>
  </xdr:twoCellAnchor>
  <xdr:twoCellAnchor>
    <xdr:from>
      <xdr:col>5</xdr:col>
      <xdr:colOff>336550</xdr:colOff>
      <xdr:row>4</xdr:row>
      <xdr:rowOff>120650</xdr:rowOff>
    </xdr:from>
    <xdr:to>
      <xdr:col>8</xdr:col>
      <xdr:colOff>400050</xdr:colOff>
      <xdr:row>10</xdr:row>
      <xdr:rowOff>120650</xdr:rowOff>
    </xdr:to>
    <xdr:sp macro="" textlink="">
      <xdr:nvSpPr>
        <xdr:cNvPr id="6" name="Rounded Rectangle 5"/>
        <xdr:cNvSpPr/>
      </xdr:nvSpPr>
      <xdr:spPr>
        <a:xfrm>
          <a:off x="4616450" y="1035050"/>
          <a:ext cx="1892300" cy="110490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u="sng">
              <a:solidFill>
                <a:schemeClr val="lt1"/>
              </a:solidFill>
              <a:latin typeface="+mn-lt"/>
              <a:ea typeface="+mn-ea"/>
              <a:cs typeface="+mn-cs"/>
            </a:rPr>
            <a:t>Total Production</a:t>
          </a:r>
        </a:p>
      </xdr:txBody>
    </xdr:sp>
    <xdr:clientData/>
  </xdr:twoCellAnchor>
  <xdr:twoCellAnchor>
    <xdr:from>
      <xdr:col>13</xdr:col>
      <xdr:colOff>565150</xdr:colOff>
      <xdr:row>4</xdr:row>
      <xdr:rowOff>120650</xdr:rowOff>
    </xdr:from>
    <xdr:to>
      <xdr:col>17</xdr:col>
      <xdr:colOff>19050</xdr:colOff>
      <xdr:row>10</xdr:row>
      <xdr:rowOff>120650</xdr:rowOff>
    </xdr:to>
    <xdr:sp macro="" textlink="">
      <xdr:nvSpPr>
        <xdr:cNvPr id="7" name="Rounded Rectangle 6"/>
        <xdr:cNvSpPr/>
      </xdr:nvSpPr>
      <xdr:spPr>
        <a:xfrm>
          <a:off x="9721850" y="1035050"/>
          <a:ext cx="1892300" cy="110490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u="sng">
              <a:solidFill>
                <a:schemeClr val="lt1"/>
              </a:solidFill>
              <a:latin typeface="+mn-lt"/>
              <a:ea typeface="+mn-ea"/>
              <a:cs typeface="+mn-cs"/>
            </a:rPr>
            <a:t>Total Production</a:t>
          </a:r>
        </a:p>
      </xdr:txBody>
    </xdr:sp>
    <xdr:clientData/>
  </xdr:twoCellAnchor>
  <xdr:twoCellAnchor>
    <xdr:from>
      <xdr:col>9</xdr:col>
      <xdr:colOff>469900</xdr:colOff>
      <xdr:row>4</xdr:row>
      <xdr:rowOff>120650</xdr:rowOff>
    </xdr:from>
    <xdr:to>
      <xdr:col>12</xdr:col>
      <xdr:colOff>533400</xdr:colOff>
      <xdr:row>10</xdr:row>
      <xdr:rowOff>120650</xdr:rowOff>
    </xdr:to>
    <xdr:sp macro="" textlink="">
      <xdr:nvSpPr>
        <xdr:cNvPr id="8" name="Rounded Rectangle 7"/>
        <xdr:cNvSpPr/>
      </xdr:nvSpPr>
      <xdr:spPr>
        <a:xfrm>
          <a:off x="7188200" y="1035050"/>
          <a:ext cx="1892300" cy="1104900"/>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u="sng">
              <a:solidFill>
                <a:schemeClr val="bg1"/>
              </a:solidFill>
              <a:latin typeface="+mn-lt"/>
              <a:ea typeface="+mn-ea"/>
              <a:cs typeface="+mn-cs"/>
            </a:rPr>
            <a:t>Average Cost</a:t>
          </a:r>
        </a:p>
      </xdr:txBody>
    </xdr:sp>
    <xdr:clientData/>
  </xdr:twoCellAnchor>
  <xdr:twoCellAnchor>
    <xdr:from>
      <xdr:col>1</xdr:col>
      <xdr:colOff>323850</xdr:colOff>
      <xdr:row>7</xdr:row>
      <xdr:rowOff>50800</xdr:rowOff>
    </xdr:from>
    <xdr:to>
      <xdr:col>4</xdr:col>
      <xdr:colOff>76200</xdr:colOff>
      <xdr:row>10</xdr:row>
      <xdr:rowOff>38100</xdr:rowOff>
    </xdr:to>
    <xdr:sp macro="" textlink="Analyze!A4">
      <xdr:nvSpPr>
        <xdr:cNvPr id="11" name="TextBox 10"/>
        <xdr:cNvSpPr txBox="1"/>
      </xdr:nvSpPr>
      <xdr:spPr>
        <a:xfrm>
          <a:off x="2165350" y="1517650"/>
          <a:ext cx="15811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F7CCA7-2AAC-454C-B2EF-971BDB884BFD}" type="TxLink">
            <a:rPr lang="en-US" sz="2000" b="1" i="0" u="none" strike="noStrike">
              <a:solidFill>
                <a:schemeClr val="bg1"/>
              </a:solidFill>
              <a:latin typeface="Calibri"/>
              <a:ea typeface="Calibri"/>
              <a:cs typeface="Calibri"/>
            </a:rPr>
            <a:pPr algn="ctr"/>
            <a:t> 34,727 </a:t>
          </a:fld>
          <a:endParaRPr lang="en-IN" sz="2000" b="1">
            <a:solidFill>
              <a:schemeClr val="bg1"/>
            </a:solidFill>
          </a:endParaRPr>
        </a:p>
      </xdr:txBody>
    </xdr:sp>
    <xdr:clientData/>
  </xdr:twoCellAnchor>
  <xdr:twoCellAnchor>
    <xdr:from>
      <xdr:col>5</xdr:col>
      <xdr:colOff>488950</xdr:colOff>
      <xdr:row>7</xdr:row>
      <xdr:rowOff>50800</xdr:rowOff>
    </xdr:from>
    <xdr:to>
      <xdr:col>8</xdr:col>
      <xdr:colOff>241300</xdr:colOff>
      <xdr:row>10</xdr:row>
      <xdr:rowOff>38100</xdr:rowOff>
    </xdr:to>
    <xdr:sp macro="" textlink="Analyze!B4">
      <xdr:nvSpPr>
        <xdr:cNvPr id="15" name="TextBox 14"/>
        <xdr:cNvSpPr txBox="1"/>
      </xdr:nvSpPr>
      <xdr:spPr>
        <a:xfrm>
          <a:off x="4768850" y="1517650"/>
          <a:ext cx="15811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05F785-B194-4C5D-B76E-5DE2E4276BAB}" type="TxLink">
            <a:rPr lang="en-US" sz="2000" b="1" i="0" u="none" strike="noStrike">
              <a:solidFill>
                <a:schemeClr val="bg1"/>
              </a:solidFill>
              <a:latin typeface="+mn-lt"/>
              <a:ea typeface="Calibri"/>
              <a:cs typeface="Calibri"/>
            </a:rPr>
            <a:pPr algn="ctr"/>
            <a:t> 33,71,078 </a:t>
          </a:fld>
          <a:endParaRPr lang="en-IN" sz="2000" b="1">
            <a:solidFill>
              <a:schemeClr val="bg1"/>
            </a:solidFill>
            <a:latin typeface="+mn-lt"/>
          </a:endParaRPr>
        </a:p>
      </xdr:txBody>
    </xdr:sp>
    <xdr:clientData/>
  </xdr:twoCellAnchor>
  <xdr:twoCellAnchor>
    <xdr:from>
      <xdr:col>10</xdr:col>
      <xdr:colOff>12700</xdr:colOff>
      <xdr:row>7</xdr:row>
      <xdr:rowOff>50800</xdr:rowOff>
    </xdr:from>
    <xdr:to>
      <xdr:col>12</xdr:col>
      <xdr:colOff>374650</xdr:colOff>
      <xdr:row>10</xdr:row>
      <xdr:rowOff>38100</xdr:rowOff>
    </xdr:to>
    <xdr:sp macro="" textlink="Analyze!C4">
      <xdr:nvSpPr>
        <xdr:cNvPr id="16" name="TextBox 15"/>
        <xdr:cNvSpPr txBox="1"/>
      </xdr:nvSpPr>
      <xdr:spPr>
        <a:xfrm>
          <a:off x="7340600" y="1517650"/>
          <a:ext cx="15811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473448-9180-4007-B433-DF8A91E0FD53}" type="TxLink">
            <a:rPr lang="en-US" sz="2000" b="1" i="0" u="none" strike="noStrike">
              <a:solidFill>
                <a:schemeClr val="bg1"/>
              </a:solidFill>
              <a:latin typeface="+mn-lt"/>
              <a:ea typeface="Calibri"/>
              <a:cs typeface="Calibri"/>
            </a:rPr>
            <a:pPr algn="ctr"/>
            <a:t> 105 </a:t>
          </a:fld>
          <a:endParaRPr lang="en-IN" sz="2000" b="1">
            <a:solidFill>
              <a:schemeClr val="bg1"/>
            </a:solidFill>
            <a:latin typeface="+mn-lt"/>
          </a:endParaRPr>
        </a:p>
      </xdr:txBody>
    </xdr:sp>
    <xdr:clientData/>
  </xdr:twoCellAnchor>
  <xdr:twoCellAnchor>
    <xdr:from>
      <xdr:col>14</xdr:col>
      <xdr:colOff>114300</xdr:colOff>
      <xdr:row>7</xdr:row>
      <xdr:rowOff>50800</xdr:rowOff>
    </xdr:from>
    <xdr:to>
      <xdr:col>16</xdr:col>
      <xdr:colOff>476250</xdr:colOff>
      <xdr:row>10</xdr:row>
      <xdr:rowOff>38100</xdr:rowOff>
    </xdr:to>
    <xdr:sp macro="" textlink="Analyze!D4">
      <xdr:nvSpPr>
        <xdr:cNvPr id="17" name="TextBox 16"/>
        <xdr:cNvSpPr txBox="1"/>
      </xdr:nvSpPr>
      <xdr:spPr>
        <a:xfrm>
          <a:off x="9880600" y="1517650"/>
          <a:ext cx="15811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314DE1-B155-4E41-872F-124F596150B4}" type="TxLink">
            <a:rPr lang="en-US" sz="2000" b="1" i="0" u="none" strike="noStrike">
              <a:solidFill>
                <a:schemeClr val="bg1"/>
              </a:solidFill>
              <a:latin typeface="+mn-lt"/>
              <a:ea typeface="Calibri"/>
              <a:cs typeface="Calibri"/>
            </a:rPr>
            <a:pPr algn="ctr"/>
            <a:t>120</a:t>
          </a:fld>
          <a:endParaRPr lang="en-IN" sz="2000" b="1">
            <a:solidFill>
              <a:schemeClr val="bg1"/>
            </a:solidFill>
            <a:latin typeface="+mn-lt"/>
          </a:endParaRPr>
        </a:p>
      </xdr:txBody>
    </xdr:sp>
    <xdr:clientData/>
  </xdr:twoCellAnchor>
  <xdr:twoCellAnchor>
    <xdr:from>
      <xdr:col>1</xdr:col>
      <xdr:colOff>196850</xdr:colOff>
      <xdr:row>12</xdr:row>
      <xdr:rowOff>0</xdr:rowOff>
    </xdr:from>
    <xdr:to>
      <xdr:col>9</xdr:col>
      <xdr:colOff>95250</xdr:colOff>
      <xdr:row>26</xdr:row>
      <xdr:rowOff>165100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260350</xdr:colOff>
      <xdr:row>12</xdr:row>
      <xdr:rowOff>0</xdr:rowOff>
    </xdr:from>
    <xdr:to>
      <xdr:col>17</xdr:col>
      <xdr:colOff>12700</xdr:colOff>
      <xdr:row>26</xdr:row>
      <xdr:rowOff>165100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203200</xdr:colOff>
      <xdr:row>28</xdr:row>
      <xdr:rowOff>0</xdr:rowOff>
    </xdr:from>
    <xdr:to>
      <xdr:col>9</xdr:col>
      <xdr:colOff>95250</xdr:colOff>
      <xdr:row>42</xdr:row>
      <xdr:rowOff>165100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228600</xdr:colOff>
      <xdr:row>44</xdr:row>
      <xdr:rowOff>0</xdr:rowOff>
    </xdr:from>
    <xdr:to>
      <xdr:col>9</xdr:col>
      <xdr:colOff>101600</xdr:colOff>
      <xdr:row>58</xdr:row>
      <xdr:rowOff>165100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292100</xdr:colOff>
      <xdr:row>44</xdr:row>
      <xdr:rowOff>0</xdr:rowOff>
    </xdr:from>
    <xdr:to>
      <xdr:col>17</xdr:col>
      <xdr:colOff>12700</xdr:colOff>
      <xdr:row>58</xdr:row>
      <xdr:rowOff>165100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234950</xdr:colOff>
      <xdr:row>60</xdr:row>
      <xdr:rowOff>0</xdr:rowOff>
    </xdr:from>
    <xdr:to>
      <xdr:col>17</xdr:col>
      <xdr:colOff>44450</xdr:colOff>
      <xdr:row>74</xdr:row>
      <xdr:rowOff>165100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63500</xdr:colOff>
      <xdr:row>2</xdr:row>
      <xdr:rowOff>88901</xdr:rowOff>
    </xdr:from>
    <xdr:to>
      <xdr:col>0</xdr:col>
      <xdr:colOff>1778000</xdr:colOff>
      <xdr:row>10</xdr:row>
      <xdr:rowOff>76201</xdr:rowOff>
    </xdr:to>
    <mc:AlternateContent xmlns:mc="http://schemas.openxmlformats.org/markup-compatibility/2006" xmlns:a14="http://schemas.microsoft.com/office/drawing/2010/main">
      <mc:Choice Requires="a14">
        <xdr:graphicFrame macro="">
          <xdr:nvGraphicFramePr>
            <xdr:cNvPr id="2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500" y="635001"/>
              <a:ext cx="17145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10</xdr:row>
      <xdr:rowOff>177801</xdr:rowOff>
    </xdr:from>
    <xdr:to>
      <xdr:col>0</xdr:col>
      <xdr:colOff>1778000</xdr:colOff>
      <xdr:row>18</xdr:row>
      <xdr:rowOff>177801</xdr:rowOff>
    </xdr:to>
    <mc:AlternateContent xmlns:mc="http://schemas.openxmlformats.org/markup-compatibility/2006" xmlns:a14="http://schemas.microsoft.com/office/drawing/2010/main">
      <mc:Choice Requires="a14">
        <xdr:graphicFrame macro="">
          <xdr:nvGraphicFramePr>
            <xdr:cNvPr id="27" name="ProductType 1"/>
            <xdr:cNvGraphicFramePr/>
          </xdr:nvGraphicFramePr>
          <xdr:xfrm>
            <a:off x="0" y="0"/>
            <a:ext cx="0" cy="0"/>
          </xdr:xfrm>
          <a:graphic>
            <a:graphicData uri="http://schemas.microsoft.com/office/drawing/2010/slicer">
              <sle:slicer xmlns:sle="http://schemas.microsoft.com/office/drawing/2010/slicer" name="ProductType 1"/>
            </a:graphicData>
          </a:graphic>
        </xdr:graphicFrame>
      </mc:Choice>
      <mc:Fallback xmlns="">
        <xdr:sp macro="" textlink="">
          <xdr:nvSpPr>
            <xdr:cNvPr id="0" name=""/>
            <xdr:cNvSpPr>
              <a:spLocks noTextEdit="1"/>
            </xdr:cNvSpPr>
          </xdr:nvSpPr>
          <xdr:spPr>
            <a:xfrm>
              <a:off x="69850" y="2197101"/>
              <a:ext cx="17081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19</xdr:row>
      <xdr:rowOff>101600</xdr:rowOff>
    </xdr:from>
    <xdr:to>
      <xdr:col>0</xdr:col>
      <xdr:colOff>1778000</xdr:colOff>
      <xdr:row>32</xdr:row>
      <xdr:rowOff>104775</xdr:rowOff>
    </xdr:to>
    <mc:AlternateContent xmlns:mc="http://schemas.openxmlformats.org/markup-compatibility/2006" xmlns:a14="http://schemas.microsoft.com/office/drawing/2010/main">
      <mc:Choice Requires="a14">
        <xdr:graphicFrame macro="">
          <xdr:nvGraphicFramePr>
            <xdr:cNvPr id="28" name="Manager 1"/>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69850" y="3778250"/>
              <a:ext cx="1708150" cy="239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33</xdr:row>
      <xdr:rowOff>12700</xdr:rowOff>
    </xdr:from>
    <xdr:to>
      <xdr:col>0</xdr:col>
      <xdr:colOff>1771650</xdr:colOff>
      <xdr:row>45</xdr:row>
      <xdr:rowOff>104775</xdr:rowOff>
    </xdr:to>
    <mc:AlternateContent xmlns:mc="http://schemas.openxmlformats.org/markup-compatibility/2006" xmlns:a14="http://schemas.microsoft.com/office/drawing/2010/main">
      <mc:Choice Requires="a14">
        <xdr:graphicFrame macro="">
          <xdr:nvGraphicFramePr>
            <xdr:cNvPr id="2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200" y="6267450"/>
              <a:ext cx="1695450" cy="2301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273050</xdr:colOff>
      <xdr:row>28</xdr:row>
      <xdr:rowOff>0</xdr:rowOff>
    </xdr:from>
    <xdr:to>
      <xdr:col>17</xdr:col>
      <xdr:colOff>25400</xdr:colOff>
      <xdr:row>42</xdr:row>
      <xdr:rowOff>165100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ion Dataset"/>
    </sheetNames>
    <sheetDataSet>
      <sheetData sheetId="0">
        <row r="1">
          <cell r="F1" t="str">
            <v>Manager</v>
          </cell>
          <cell r="G1" t="str">
            <v>ProductType</v>
          </cell>
          <cell r="H1" t="str">
            <v>UnitsProduced</v>
          </cell>
          <cell r="I1" t="str">
            <v>TotalCost</v>
          </cell>
          <cell r="J1" t="str">
            <v>Production Cost</v>
          </cell>
          <cell r="K1" t="str">
            <v>Gender</v>
          </cell>
        </row>
        <row r="2">
          <cell r="F2" t="str">
            <v>Jane Smith</v>
          </cell>
          <cell r="G2" t="str">
            <v>Electronics</v>
          </cell>
          <cell r="H2">
            <v>214</v>
          </cell>
          <cell r="I2">
            <v>11954</v>
          </cell>
          <cell r="J2">
            <v>55.859813084112147</v>
          </cell>
          <cell r="K2" t="str">
            <v>Female</v>
          </cell>
        </row>
        <row r="3">
          <cell r="F3" t="str">
            <v>Nancy Grey</v>
          </cell>
          <cell r="G3" t="str">
            <v>Automobiles</v>
          </cell>
          <cell r="H3">
            <v>344</v>
          </cell>
          <cell r="I3">
            <v>13872</v>
          </cell>
          <cell r="K3" t="str">
            <v>Female</v>
          </cell>
        </row>
        <row r="4">
          <cell r="F4" t="str">
            <v>Laura Black</v>
          </cell>
          <cell r="G4" t="str">
            <v>Electronics</v>
          </cell>
          <cell r="H4">
            <v>213</v>
          </cell>
          <cell r="I4">
            <v>42028</v>
          </cell>
          <cell r="K4" t="str">
            <v>Female</v>
          </cell>
        </row>
        <row r="5">
          <cell r="F5" t="str">
            <v>Emily Davis</v>
          </cell>
          <cell r="G5" t="str">
            <v>Automobiles</v>
          </cell>
          <cell r="H5">
            <v>290</v>
          </cell>
          <cell r="I5">
            <v>15132</v>
          </cell>
          <cell r="K5" t="str">
            <v>Unknown</v>
          </cell>
        </row>
        <row r="6">
          <cell r="F6" t="str">
            <v>Andrew Blue</v>
          </cell>
          <cell r="G6" t="str">
            <v>Automobiles</v>
          </cell>
          <cell r="H6">
            <v>231</v>
          </cell>
          <cell r="I6">
            <v>32045</v>
          </cell>
          <cell r="K6" t="str">
            <v>Female</v>
          </cell>
        </row>
        <row r="7">
          <cell r="F7" t="str">
            <v>Laura Black</v>
          </cell>
          <cell r="G7" t="str">
            <v>Machinery</v>
          </cell>
          <cell r="H7">
            <v>260</v>
          </cell>
          <cell r="I7">
            <v>34680</v>
          </cell>
          <cell r="K7" t="str">
            <v>Male</v>
          </cell>
        </row>
        <row r="8">
          <cell r="F8" t="str">
            <v>Mike Brown</v>
          </cell>
          <cell r="G8" t="str">
            <v>Machinery</v>
          </cell>
          <cell r="H8">
            <v>459</v>
          </cell>
          <cell r="I8">
            <v>17069</v>
          </cell>
          <cell r="K8" t="str">
            <v>Unknown</v>
          </cell>
        </row>
        <row r="9">
          <cell r="F9" t="str">
            <v>John Doe</v>
          </cell>
          <cell r="G9" t="str">
            <v>Furniture</v>
          </cell>
          <cell r="H9">
            <v>384</v>
          </cell>
          <cell r="I9">
            <v>40565</v>
          </cell>
          <cell r="K9" t="str">
            <v>Female</v>
          </cell>
        </row>
        <row r="10">
          <cell r="F10" t="str">
            <v>Nancy Grey</v>
          </cell>
          <cell r="G10" t="str">
            <v>Machinery</v>
          </cell>
          <cell r="H10">
            <v>240</v>
          </cell>
          <cell r="I10">
            <v>65052</v>
          </cell>
          <cell r="K10" t="str">
            <v>Female</v>
          </cell>
        </row>
        <row r="11">
          <cell r="F11" t="str">
            <v>Nancy Grey</v>
          </cell>
          <cell r="G11" t="str">
            <v>Machinery</v>
          </cell>
          <cell r="H11">
            <v>63</v>
          </cell>
          <cell r="I11">
            <v>3960</v>
          </cell>
          <cell r="K11" t="str">
            <v>Male</v>
          </cell>
        </row>
        <row r="12">
          <cell r="F12" t="str">
            <v>John Doe</v>
          </cell>
          <cell r="G12" t="str">
            <v>Electronics</v>
          </cell>
          <cell r="H12">
            <v>208</v>
          </cell>
          <cell r="I12">
            <v>25758</v>
          </cell>
          <cell r="K12" t="str">
            <v>Unknown</v>
          </cell>
        </row>
        <row r="13">
          <cell r="F13" t="str">
            <v>Nancy Grey</v>
          </cell>
          <cell r="G13" t="str">
            <v>Electronics</v>
          </cell>
          <cell r="H13">
            <v>55</v>
          </cell>
          <cell r="I13">
            <v>25893</v>
          </cell>
          <cell r="K13" t="str">
            <v>Male</v>
          </cell>
        </row>
        <row r="14">
          <cell r="F14" t="str">
            <v>Laura Black</v>
          </cell>
          <cell r="G14" t="str">
            <v>Automobiles</v>
          </cell>
          <cell r="H14">
            <v>165</v>
          </cell>
          <cell r="I14">
            <v>679</v>
          </cell>
          <cell r="K14" t="str">
            <v>Male</v>
          </cell>
        </row>
        <row r="15">
          <cell r="F15" t="str">
            <v>Mike Brown</v>
          </cell>
          <cell r="G15" t="str">
            <v>Automobiles</v>
          </cell>
          <cell r="H15">
            <v>288</v>
          </cell>
          <cell r="I15">
            <v>33284</v>
          </cell>
          <cell r="K15" t="str">
            <v>Female</v>
          </cell>
        </row>
        <row r="16">
          <cell r="F16" t="str">
            <v>Jane Smith</v>
          </cell>
          <cell r="G16" t="str">
            <v>Machinery</v>
          </cell>
          <cell r="H16">
            <v>460</v>
          </cell>
          <cell r="I16">
            <v>50274</v>
          </cell>
          <cell r="J16">
            <v>109.29130434782608</v>
          </cell>
          <cell r="K16" t="str">
            <v>Male</v>
          </cell>
        </row>
        <row r="17">
          <cell r="F17" t="str">
            <v>Jane Smith</v>
          </cell>
          <cell r="G17" t="str">
            <v>Automobiles</v>
          </cell>
          <cell r="H17">
            <v>541</v>
          </cell>
          <cell r="I17">
            <v>42432</v>
          </cell>
          <cell r="J17">
            <v>78.432532347504619</v>
          </cell>
          <cell r="K17" t="str">
            <v>Female</v>
          </cell>
        </row>
        <row r="18">
          <cell r="F18" t="str">
            <v>Nancy Grey</v>
          </cell>
          <cell r="G18" t="str">
            <v>Furniture</v>
          </cell>
          <cell r="H18">
            <v>335</v>
          </cell>
          <cell r="I18">
            <v>36984</v>
          </cell>
          <cell r="K18" t="str">
            <v>Female</v>
          </cell>
        </row>
        <row r="19">
          <cell r="F19" t="str">
            <v>Mike Brown</v>
          </cell>
          <cell r="G19" t="str">
            <v>Automobiles</v>
          </cell>
          <cell r="H19">
            <v>126</v>
          </cell>
          <cell r="I19">
            <v>40446</v>
          </cell>
          <cell r="K19" t="str">
            <v>Unknown</v>
          </cell>
        </row>
        <row r="20">
          <cell r="F20" t="str">
            <v>John Doe</v>
          </cell>
          <cell r="G20" t="str">
            <v>Furniture</v>
          </cell>
          <cell r="H20">
            <v>177</v>
          </cell>
          <cell r="I20">
            <v>30600</v>
          </cell>
          <cell r="K20" t="str">
            <v>Male</v>
          </cell>
        </row>
        <row r="21">
          <cell r="F21" t="str">
            <v>Jane Smith</v>
          </cell>
          <cell r="G21" t="str">
            <v>Automobiles</v>
          </cell>
          <cell r="H21">
            <v>439</v>
          </cell>
          <cell r="I21">
            <v>31392</v>
          </cell>
          <cell r="J21">
            <v>71.50797266514806</v>
          </cell>
          <cell r="K21" t="str">
            <v>Male</v>
          </cell>
        </row>
        <row r="22">
          <cell r="F22" t="str">
            <v>Andrew Blue</v>
          </cell>
          <cell r="G22" t="str">
            <v>Furniture</v>
          </cell>
          <cell r="H22">
            <v>666</v>
          </cell>
          <cell r="I22">
            <v>64635</v>
          </cell>
          <cell r="K22" t="str">
            <v>Male</v>
          </cell>
        </row>
        <row r="23">
          <cell r="F23" t="str">
            <v>Nancy Grey</v>
          </cell>
          <cell r="G23" t="str">
            <v>Machinery</v>
          </cell>
          <cell r="H23">
            <v>359</v>
          </cell>
          <cell r="I23">
            <v>12753</v>
          </cell>
          <cell r="K23" t="str">
            <v>Male</v>
          </cell>
        </row>
        <row r="24">
          <cell r="F24" t="str">
            <v>Jane Smith</v>
          </cell>
          <cell r="G24" t="str">
            <v>Automobiles</v>
          </cell>
          <cell r="H24">
            <v>511</v>
          </cell>
          <cell r="I24">
            <v>16698</v>
          </cell>
          <cell r="J24">
            <v>32.677103718199611</v>
          </cell>
          <cell r="K24" t="str">
            <v>Unknown</v>
          </cell>
        </row>
        <row r="25">
          <cell r="F25" t="str">
            <v>David White</v>
          </cell>
          <cell r="G25" t="str">
            <v>Machinery</v>
          </cell>
          <cell r="H25">
            <v>333</v>
          </cell>
          <cell r="I25">
            <v>48000</v>
          </cell>
          <cell r="K25" t="str">
            <v>Female</v>
          </cell>
        </row>
        <row r="26">
          <cell r="F26" t="str">
            <v>Nancy Grey</v>
          </cell>
          <cell r="G26" t="str">
            <v>Automobiles</v>
          </cell>
          <cell r="H26">
            <v>354</v>
          </cell>
          <cell r="I26">
            <v>679</v>
          </cell>
          <cell r="K26" t="str">
            <v>Male</v>
          </cell>
        </row>
        <row r="27">
          <cell r="F27" t="str">
            <v>Jane Smith</v>
          </cell>
          <cell r="G27" t="str">
            <v>Machinery</v>
          </cell>
          <cell r="H27">
            <v>545</v>
          </cell>
          <cell r="I27">
            <v>65250</v>
          </cell>
          <cell r="J27">
            <v>119.72477064220183</v>
          </cell>
          <cell r="K27" t="str">
            <v>Female</v>
          </cell>
        </row>
        <row r="28">
          <cell r="F28" t="str">
            <v>Nancy Grey</v>
          </cell>
          <cell r="G28" t="str">
            <v>Electronics</v>
          </cell>
          <cell r="H28">
            <v>331</v>
          </cell>
          <cell r="I28">
            <v>27140</v>
          </cell>
          <cell r="K28" t="str">
            <v>Male</v>
          </cell>
        </row>
        <row r="29">
          <cell r="F29" t="str">
            <v>David White</v>
          </cell>
          <cell r="G29" t="str">
            <v>Automobiles</v>
          </cell>
          <cell r="H29">
            <v>86</v>
          </cell>
          <cell r="I29">
            <v>25853</v>
          </cell>
          <cell r="K29" t="str">
            <v>Female</v>
          </cell>
        </row>
        <row r="30">
          <cell r="F30" t="str">
            <v>Nancy Grey</v>
          </cell>
          <cell r="G30" t="str">
            <v>Automobiles</v>
          </cell>
          <cell r="H30">
            <v>214</v>
          </cell>
          <cell r="I30">
            <v>31122</v>
          </cell>
          <cell r="K30" t="str">
            <v>Male</v>
          </cell>
        </row>
        <row r="31">
          <cell r="F31" t="str">
            <v>Nancy Grey</v>
          </cell>
          <cell r="G31" t="str">
            <v>Automobiles</v>
          </cell>
          <cell r="H31">
            <v>289</v>
          </cell>
          <cell r="I31">
            <v>24948</v>
          </cell>
          <cell r="K31" t="str">
            <v>Male</v>
          </cell>
        </row>
        <row r="32">
          <cell r="F32" t="str">
            <v>Mike Brown</v>
          </cell>
          <cell r="G32" t="str">
            <v>Automobiles</v>
          </cell>
          <cell r="H32">
            <v>97</v>
          </cell>
          <cell r="I32">
            <v>679</v>
          </cell>
          <cell r="K32" t="str">
            <v>Female</v>
          </cell>
        </row>
        <row r="33">
          <cell r="F33" t="str">
            <v>David White</v>
          </cell>
          <cell r="G33" t="str">
            <v>Automobiles</v>
          </cell>
          <cell r="H33">
            <v>366</v>
          </cell>
          <cell r="I33">
            <v>4131</v>
          </cell>
          <cell r="K33" t="str">
            <v>Male</v>
          </cell>
        </row>
        <row r="34">
          <cell r="F34" t="str">
            <v>Mike Brown</v>
          </cell>
          <cell r="G34" t="str">
            <v>Machinery</v>
          </cell>
          <cell r="H34">
            <v>222</v>
          </cell>
          <cell r="I34">
            <v>17500</v>
          </cell>
          <cell r="K34" t="str">
            <v>Male</v>
          </cell>
        </row>
        <row r="35">
          <cell r="F35" t="str">
            <v>Laura Black</v>
          </cell>
          <cell r="G35" t="str">
            <v>Automobiles</v>
          </cell>
          <cell r="H35">
            <v>151</v>
          </cell>
          <cell r="I35">
            <v>8475</v>
          </cell>
          <cell r="K35" t="str">
            <v>Female</v>
          </cell>
        </row>
        <row r="36">
          <cell r="F36" t="str">
            <v>Laura Black</v>
          </cell>
          <cell r="G36" t="str">
            <v>Electronics</v>
          </cell>
          <cell r="H36">
            <v>307</v>
          </cell>
          <cell r="I36">
            <v>679</v>
          </cell>
          <cell r="K36" t="str">
            <v>Female</v>
          </cell>
        </row>
        <row r="37">
          <cell r="F37" t="str">
            <v>Mike Brown</v>
          </cell>
          <cell r="G37" t="str">
            <v>Automobiles</v>
          </cell>
          <cell r="H37">
            <v>444</v>
          </cell>
          <cell r="I37">
            <v>7272</v>
          </cell>
          <cell r="K37" t="str">
            <v>Male</v>
          </cell>
        </row>
        <row r="38">
          <cell r="F38" t="str">
            <v>Jane Smith</v>
          </cell>
          <cell r="G38" t="str">
            <v>Furniture</v>
          </cell>
          <cell r="H38">
            <v>404</v>
          </cell>
          <cell r="I38">
            <v>13310</v>
          </cell>
          <cell r="J38">
            <v>32.945544554455445</v>
          </cell>
          <cell r="K38" t="str">
            <v>Female</v>
          </cell>
        </row>
        <row r="39">
          <cell r="F39" t="str">
            <v>Nancy Grey</v>
          </cell>
          <cell r="G39" t="str">
            <v>Automobiles</v>
          </cell>
          <cell r="H39">
            <v>160</v>
          </cell>
          <cell r="I39">
            <v>59248</v>
          </cell>
          <cell r="K39" t="str">
            <v>Female</v>
          </cell>
        </row>
        <row r="40">
          <cell r="F40" t="str">
            <v>John Doe</v>
          </cell>
          <cell r="G40" t="str">
            <v>Electronics</v>
          </cell>
          <cell r="H40">
            <v>368</v>
          </cell>
          <cell r="I40">
            <v>25254</v>
          </cell>
          <cell r="K40" t="str">
            <v>Female</v>
          </cell>
        </row>
        <row r="41">
          <cell r="F41" t="str">
            <v>Chris Green</v>
          </cell>
          <cell r="G41" t="str">
            <v>Machinery</v>
          </cell>
          <cell r="H41">
            <v>180</v>
          </cell>
          <cell r="I41">
            <v>33684</v>
          </cell>
          <cell r="K41" t="str">
            <v>Female</v>
          </cell>
        </row>
        <row r="42">
          <cell r="F42" t="str">
            <v>John Doe</v>
          </cell>
          <cell r="G42" t="str">
            <v>Furniture</v>
          </cell>
          <cell r="H42">
            <v>255</v>
          </cell>
          <cell r="I42">
            <v>57706</v>
          </cell>
          <cell r="K42" t="str">
            <v>Female</v>
          </cell>
        </row>
        <row r="43">
          <cell r="F43" t="str">
            <v>Mike Brown</v>
          </cell>
          <cell r="G43" t="str">
            <v>Machinery</v>
          </cell>
          <cell r="H43">
            <v>458</v>
          </cell>
          <cell r="I43">
            <v>42873</v>
          </cell>
          <cell r="K43" t="str">
            <v>Female</v>
          </cell>
        </row>
        <row r="44">
          <cell r="F44" t="str">
            <v>David White</v>
          </cell>
          <cell r="G44" t="str">
            <v>Electronics</v>
          </cell>
          <cell r="H44">
            <v>447</v>
          </cell>
          <cell r="I44">
            <v>52269</v>
          </cell>
          <cell r="K44" t="str">
            <v>Male</v>
          </cell>
        </row>
        <row r="45">
          <cell r="F45" t="str">
            <v>Nancy Grey</v>
          </cell>
          <cell r="G45" t="str">
            <v>Machinery</v>
          </cell>
          <cell r="H45">
            <v>250</v>
          </cell>
          <cell r="I45">
            <v>11385</v>
          </cell>
          <cell r="K45" t="str">
            <v>Male</v>
          </cell>
        </row>
        <row r="46">
          <cell r="F46" t="str">
            <v>Andrew Blue</v>
          </cell>
          <cell r="G46" t="str">
            <v>Furniture</v>
          </cell>
          <cell r="H46">
            <v>264</v>
          </cell>
          <cell r="I46">
            <v>75332</v>
          </cell>
          <cell r="K46" t="str">
            <v>Female</v>
          </cell>
        </row>
        <row r="47">
          <cell r="F47" t="str">
            <v>Mike Brown</v>
          </cell>
          <cell r="G47" t="str">
            <v>Electronics</v>
          </cell>
          <cell r="H47">
            <v>199</v>
          </cell>
          <cell r="I47">
            <v>56118</v>
          </cell>
          <cell r="K47" t="str">
            <v>Unknown</v>
          </cell>
        </row>
        <row r="48">
          <cell r="F48" t="str">
            <v>Andrew Blue</v>
          </cell>
          <cell r="G48" t="str">
            <v>Automobiles</v>
          </cell>
          <cell r="H48">
            <v>60</v>
          </cell>
          <cell r="I48">
            <v>5822</v>
          </cell>
          <cell r="K48" t="str">
            <v>Male</v>
          </cell>
        </row>
        <row r="49">
          <cell r="F49" t="str">
            <v>Nancy Grey</v>
          </cell>
          <cell r="G49" t="str">
            <v>Electronics</v>
          </cell>
          <cell r="H49">
            <v>192</v>
          </cell>
          <cell r="I49">
            <v>18648</v>
          </cell>
          <cell r="K49" t="str">
            <v>Female</v>
          </cell>
        </row>
        <row r="50">
          <cell r="F50" t="str">
            <v>Jane Smith</v>
          </cell>
          <cell r="G50" t="str">
            <v>Furniture</v>
          </cell>
          <cell r="H50">
            <v>193</v>
          </cell>
          <cell r="I50">
            <v>18796</v>
          </cell>
          <cell r="J50">
            <v>97.388601036269435</v>
          </cell>
          <cell r="K50" t="str">
            <v>Male</v>
          </cell>
        </row>
        <row r="51">
          <cell r="F51" t="str">
            <v>John Doe</v>
          </cell>
          <cell r="G51" t="str">
            <v>Machinery</v>
          </cell>
          <cell r="H51">
            <v>214</v>
          </cell>
          <cell r="I51">
            <v>4984</v>
          </cell>
          <cell r="K51" t="str">
            <v>Male</v>
          </cell>
        </row>
        <row r="52">
          <cell r="F52" t="str">
            <v>Nancy Grey</v>
          </cell>
          <cell r="G52" t="str">
            <v>Furniture</v>
          </cell>
          <cell r="H52">
            <v>209</v>
          </cell>
          <cell r="I52">
            <v>51221</v>
          </cell>
          <cell r="K52" t="str">
            <v>Female</v>
          </cell>
        </row>
        <row r="53">
          <cell r="F53" t="str">
            <v>Emily Davis</v>
          </cell>
          <cell r="G53" t="str">
            <v>Machinery</v>
          </cell>
          <cell r="H53">
            <v>494</v>
          </cell>
          <cell r="I53">
            <v>46767</v>
          </cell>
          <cell r="K53" t="str">
            <v>Female</v>
          </cell>
        </row>
        <row r="54">
          <cell r="F54" t="str">
            <v>Nancy Grey</v>
          </cell>
          <cell r="G54" t="str">
            <v>Automobiles</v>
          </cell>
          <cell r="H54">
            <v>32</v>
          </cell>
          <cell r="I54">
            <v>3132</v>
          </cell>
          <cell r="K54" t="str">
            <v>Male</v>
          </cell>
        </row>
        <row r="55">
          <cell r="F55" t="str">
            <v>Nancy Grey</v>
          </cell>
          <cell r="G55" t="str">
            <v>Electronics</v>
          </cell>
          <cell r="H55">
            <v>499</v>
          </cell>
          <cell r="I55">
            <v>48316</v>
          </cell>
          <cell r="K55" t="str">
            <v>Female</v>
          </cell>
        </row>
        <row r="56">
          <cell r="F56" t="str">
            <v>Andrew Blue</v>
          </cell>
          <cell r="G56" t="str">
            <v>Automobiles</v>
          </cell>
          <cell r="H56">
            <v>128</v>
          </cell>
          <cell r="I56">
            <v>35088</v>
          </cell>
          <cell r="K56" t="str">
            <v>Male</v>
          </cell>
        </row>
        <row r="57">
          <cell r="F57" t="str">
            <v>Jane Smith</v>
          </cell>
          <cell r="G57" t="str">
            <v>Electronics</v>
          </cell>
          <cell r="H57">
            <v>97</v>
          </cell>
          <cell r="I57">
            <v>679</v>
          </cell>
          <cell r="J57">
            <v>7</v>
          </cell>
          <cell r="K57" t="str">
            <v>Female</v>
          </cell>
        </row>
        <row r="58">
          <cell r="F58" t="str">
            <v>Chris Green</v>
          </cell>
          <cell r="G58" t="str">
            <v>Automobiles</v>
          </cell>
          <cell r="H58">
            <v>308</v>
          </cell>
          <cell r="I58">
            <v>27956</v>
          </cell>
          <cell r="K58" t="str">
            <v>Unknown</v>
          </cell>
        </row>
        <row r="59">
          <cell r="F59" t="str">
            <v>Chris Green</v>
          </cell>
          <cell r="G59" t="str">
            <v>Furniture</v>
          </cell>
          <cell r="H59">
            <v>95</v>
          </cell>
          <cell r="I59">
            <v>46800</v>
          </cell>
          <cell r="K59" t="str">
            <v>Male</v>
          </cell>
        </row>
        <row r="60">
          <cell r="F60" t="str">
            <v>Jane Smith</v>
          </cell>
          <cell r="G60" t="str">
            <v>Machinery</v>
          </cell>
          <cell r="H60">
            <v>401</v>
          </cell>
          <cell r="I60">
            <v>19691</v>
          </cell>
          <cell r="J60">
            <v>49.104738154613464</v>
          </cell>
          <cell r="K60" t="str">
            <v>Male</v>
          </cell>
        </row>
        <row r="61">
          <cell r="F61" t="str">
            <v>Jane Smith</v>
          </cell>
          <cell r="G61" t="str">
            <v>Machinery</v>
          </cell>
          <cell r="H61">
            <v>74</v>
          </cell>
          <cell r="I61">
            <v>36708</v>
          </cell>
          <cell r="J61">
            <v>496.05405405405406</v>
          </cell>
          <cell r="K61" t="str">
            <v>Male</v>
          </cell>
        </row>
        <row r="62">
          <cell r="F62" t="str">
            <v>Mike Brown</v>
          </cell>
          <cell r="G62" t="str">
            <v>Machinery</v>
          </cell>
          <cell r="H62">
            <v>535</v>
          </cell>
          <cell r="I62">
            <v>44330</v>
          </cell>
          <cell r="K62" t="str">
            <v>Male</v>
          </cell>
        </row>
        <row r="63">
          <cell r="F63" t="str">
            <v>Mike Brown</v>
          </cell>
          <cell r="G63" t="str">
            <v>Machinery</v>
          </cell>
          <cell r="H63">
            <v>380</v>
          </cell>
          <cell r="I63">
            <v>44525</v>
          </cell>
          <cell r="K63" t="str">
            <v>Unknown</v>
          </cell>
        </row>
        <row r="64">
          <cell r="F64" t="str">
            <v>Nancy Grey</v>
          </cell>
          <cell r="G64" t="str">
            <v>Machinery</v>
          </cell>
          <cell r="H64">
            <v>343</v>
          </cell>
          <cell r="I64">
            <v>33344</v>
          </cell>
          <cell r="K64" t="str">
            <v>Male</v>
          </cell>
        </row>
        <row r="65">
          <cell r="F65" t="str">
            <v>Nancy Grey</v>
          </cell>
          <cell r="G65" t="str">
            <v>Machinery</v>
          </cell>
          <cell r="H65">
            <v>318</v>
          </cell>
          <cell r="I65">
            <v>16864</v>
          </cell>
          <cell r="K65" t="str">
            <v>Male</v>
          </cell>
        </row>
        <row r="66">
          <cell r="F66" t="str">
            <v>Nancy Grey</v>
          </cell>
          <cell r="G66" t="str">
            <v>Furniture</v>
          </cell>
          <cell r="H66">
            <v>218</v>
          </cell>
          <cell r="I66">
            <v>7125</v>
          </cell>
          <cell r="K66" t="str">
            <v>Male</v>
          </cell>
        </row>
        <row r="67">
          <cell r="F67" t="str">
            <v>David White</v>
          </cell>
          <cell r="G67" t="str">
            <v>Automobiles</v>
          </cell>
          <cell r="H67">
            <v>128</v>
          </cell>
          <cell r="I67">
            <v>679</v>
          </cell>
          <cell r="K67" t="str">
            <v>Male</v>
          </cell>
        </row>
        <row r="68">
          <cell r="F68" t="str">
            <v>Sarah Lee</v>
          </cell>
          <cell r="G68" t="str">
            <v>Automobiles</v>
          </cell>
          <cell r="H68">
            <v>497</v>
          </cell>
          <cell r="I68">
            <v>46548</v>
          </cell>
          <cell r="K68" t="str">
            <v>Female</v>
          </cell>
        </row>
        <row r="69">
          <cell r="F69" t="str">
            <v>Mike Brown</v>
          </cell>
          <cell r="G69" t="str">
            <v>Machinery</v>
          </cell>
          <cell r="H69">
            <v>358</v>
          </cell>
          <cell r="I69">
            <v>13568</v>
          </cell>
          <cell r="K69" t="str">
            <v>Female</v>
          </cell>
        </row>
        <row r="70">
          <cell r="F70" t="str">
            <v>Andrew Blue</v>
          </cell>
          <cell r="G70" t="str">
            <v>Electronics</v>
          </cell>
          <cell r="H70">
            <v>84</v>
          </cell>
          <cell r="I70">
            <v>10688</v>
          </cell>
          <cell r="K70" t="str">
            <v>Female</v>
          </cell>
        </row>
        <row r="71">
          <cell r="F71" t="str">
            <v>Jane Smith</v>
          </cell>
          <cell r="G71" t="str">
            <v>Automobiles</v>
          </cell>
          <cell r="H71">
            <v>81</v>
          </cell>
          <cell r="I71">
            <v>31414</v>
          </cell>
          <cell r="J71">
            <v>387.82716049382714</v>
          </cell>
          <cell r="K71" t="str">
            <v>Female</v>
          </cell>
        </row>
        <row r="72">
          <cell r="F72" t="str">
            <v>Nancy Grey</v>
          </cell>
          <cell r="G72" t="str">
            <v>Automobiles</v>
          </cell>
          <cell r="H72">
            <v>389</v>
          </cell>
          <cell r="I72">
            <v>37744</v>
          </cell>
          <cell r="K72" t="str">
            <v>Male</v>
          </cell>
        </row>
        <row r="73">
          <cell r="F73" t="str">
            <v>John Doe</v>
          </cell>
          <cell r="G73" t="str">
            <v>Machinery</v>
          </cell>
          <cell r="H73">
            <v>178</v>
          </cell>
          <cell r="I73">
            <v>679</v>
          </cell>
          <cell r="K73" t="str">
            <v>Male</v>
          </cell>
        </row>
        <row r="74">
          <cell r="F74" t="str">
            <v>Jane Smith</v>
          </cell>
          <cell r="G74" t="str">
            <v>Electronics</v>
          </cell>
          <cell r="H74">
            <v>527</v>
          </cell>
          <cell r="I74">
            <v>51168</v>
          </cell>
          <cell r="J74">
            <v>97.092979127134726</v>
          </cell>
          <cell r="K74" t="str">
            <v>Male</v>
          </cell>
        </row>
        <row r="75">
          <cell r="F75" t="str">
            <v>Chris Green</v>
          </cell>
          <cell r="G75" t="str">
            <v>Automobiles</v>
          </cell>
          <cell r="H75">
            <v>145</v>
          </cell>
          <cell r="I75">
            <v>43615</v>
          </cell>
          <cell r="K75" t="str">
            <v>Male</v>
          </cell>
        </row>
        <row r="76">
          <cell r="F76" t="str">
            <v>Nancy Grey</v>
          </cell>
          <cell r="G76" t="str">
            <v>Automobiles</v>
          </cell>
          <cell r="H76">
            <v>495</v>
          </cell>
          <cell r="I76">
            <v>679</v>
          </cell>
          <cell r="K76" t="str">
            <v>Male</v>
          </cell>
        </row>
        <row r="77">
          <cell r="F77" t="str">
            <v>John Doe</v>
          </cell>
          <cell r="G77" t="str">
            <v>Automobiles</v>
          </cell>
          <cell r="H77">
            <v>412</v>
          </cell>
          <cell r="I77">
            <v>22288</v>
          </cell>
          <cell r="K77" t="str">
            <v>Female</v>
          </cell>
        </row>
        <row r="78">
          <cell r="F78" t="str">
            <v>Chris Green</v>
          </cell>
          <cell r="G78" t="str">
            <v>Automobiles</v>
          </cell>
          <cell r="H78">
            <v>363</v>
          </cell>
          <cell r="I78">
            <v>38232</v>
          </cell>
          <cell r="K78" t="str">
            <v>Female</v>
          </cell>
        </row>
        <row r="79">
          <cell r="F79" t="str">
            <v>Laura Black</v>
          </cell>
          <cell r="G79" t="str">
            <v>Machinery</v>
          </cell>
          <cell r="H79">
            <v>155</v>
          </cell>
          <cell r="I79">
            <v>11092</v>
          </cell>
          <cell r="K79" t="str">
            <v>Female</v>
          </cell>
        </row>
        <row r="80">
          <cell r="F80" t="str">
            <v>Andrew Blue</v>
          </cell>
          <cell r="G80" t="str">
            <v>Electronics</v>
          </cell>
          <cell r="H80">
            <v>190</v>
          </cell>
          <cell r="I80">
            <v>28050</v>
          </cell>
          <cell r="K80" t="str">
            <v>Female</v>
          </cell>
        </row>
        <row r="81">
          <cell r="F81" t="str">
            <v>Nancy Grey</v>
          </cell>
          <cell r="G81" t="str">
            <v>Automobiles</v>
          </cell>
          <cell r="H81">
            <v>51</v>
          </cell>
          <cell r="I81">
            <v>56888</v>
          </cell>
          <cell r="K81" t="str">
            <v>Female</v>
          </cell>
        </row>
        <row r="82">
          <cell r="F82" t="str">
            <v>Nancy Grey</v>
          </cell>
          <cell r="G82" t="str">
            <v>Automobiles</v>
          </cell>
          <cell r="H82">
            <v>383</v>
          </cell>
          <cell r="I82">
            <v>39008</v>
          </cell>
          <cell r="K82" t="str">
            <v>Unknown</v>
          </cell>
        </row>
        <row r="83">
          <cell r="F83" t="str">
            <v>Nancy Grey</v>
          </cell>
          <cell r="G83" t="str">
            <v>Furniture</v>
          </cell>
          <cell r="H83">
            <v>51</v>
          </cell>
          <cell r="I83">
            <v>35280</v>
          </cell>
          <cell r="K83" t="str">
            <v>Male</v>
          </cell>
        </row>
        <row r="84">
          <cell r="F84" t="str">
            <v>Emily Davis</v>
          </cell>
          <cell r="G84" t="str">
            <v>Automobiles</v>
          </cell>
          <cell r="H84">
            <v>462</v>
          </cell>
          <cell r="I84">
            <v>26145</v>
          </cell>
          <cell r="K84" t="str">
            <v>Unknown</v>
          </cell>
        </row>
        <row r="85">
          <cell r="F85" t="str">
            <v>Andrew Blue</v>
          </cell>
          <cell r="G85" t="str">
            <v>Machinery</v>
          </cell>
          <cell r="H85">
            <v>236</v>
          </cell>
          <cell r="I85">
            <v>679</v>
          </cell>
          <cell r="K85" t="str">
            <v>Unknown</v>
          </cell>
        </row>
        <row r="86">
          <cell r="F86" t="str">
            <v>Laura Black</v>
          </cell>
          <cell r="G86" t="str">
            <v>Furniture</v>
          </cell>
          <cell r="H86">
            <v>430</v>
          </cell>
          <cell r="I86">
            <v>66500</v>
          </cell>
          <cell r="K86" t="str">
            <v>Female</v>
          </cell>
        </row>
        <row r="87">
          <cell r="F87" t="str">
            <v>Emily Davis</v>
          </cell>
          <cell r="G87" t="str">
            <v>Electronics</v>
          </cell>
          <cell r="H87">
            <v>511</v>
          </cell>
          <cell r="I87">
            <v>679</v>
          </cell>
          <cell r="K87" t="str">
            <v>Female</v>
          </cell>
        </row>
        <row r="88">
          <cell r="F88" t="str">
            <v>Nancy Grey</v>
          </cell>
          <cell r="G88" t="str">
            <v>Automobiles</v>
          </cell>
          <cell r="H88">
            <v>382</v>
          </cell>
          <cell r="I88">
            <v>37490</v>
          </cell>
          <cell r="K88" t="str">
            <v>Male</v>
          </cell>
        </row>
        <row r="89">
          <cell r="F89" t="str">
            <v>Emily Davis</v>
          </cell>
          <cell r="G89" t="str">
            <v>Automobiles</v>
          </cell>
          <cell r="H89">
            <v>173</v>
          </cell>
          <cell r="I89">
            <v>24549</v>
          </cell>
          <cell r="K89" t="str">
            <v>Male</v>
          </cell>
        </row>
        <row r="90">
          <cell r="F90" t="str">
            <v>John Doe</v>
          </cell>
          <cell r="G90" t="str">
            <v>Electronics</v>
          </cell>
          <cell r="H90">
            <v>188</v>
          </cell>
          <cell r="I90">
            <v>679</v>
          </cell>
          <cell r="K90" t="str">
            <v>Female</v>
          </cell>
        </row>
        <row r="91">
          <cell r="F91" t="str">
            <v>Nancy Grey</v>
          </cell>
          <cell r="G91" t="str">
            <v>Machinery</v>
          </cell>
          <cell r="H91">
            <v>386</v>
          </cell>
          <cell r="I91">
            <v>47952</v>
          </cell>
          <cell r="K91" t="str">
            <v>Male</v>
          </cell>
        </row>
        <row r="92">
          <cell r="F92" t="str">
            <v>Jane Smith</v>
          </cell>
          <cell r="G92" t="str">
            <v>Machinery</v>
          </cell>
          <cell r="H92">
            <v>178</v>
          </cell>
          <cell r="I92">
            <v>41349</v>
          </cell>
          <cell r="J92">
            <v>232.29775280898878</v>
          </cell>
          <cell r="K92" t="str">
            <v>Male</v>
          </cell>
        </row>
        <row r="93">
          <cell r="F93" t="str">
            <v>Laura Black</v>
          </cell>
          <cell r="G93" t="str">
            <v>Furniture</v>
          </cell>
          <cell r="H93">
            <v>368</v>
          </cell>
          <cell r="I93">
            <v>46068</v>
          </cell>
          <cell r="K93" t="str">
            <v>Female</v>
          </cell>
        </row>
        <row r="94">
          <cell r="F94" t="str">
            <v>John Doe</v>
          </cell>
          <cell r="G94" t="str">
            <v>Electronics</v>
          </cell>
          <cell r="H94">
            <v>322</v>
          </cell>
          <cell r="I94">
            <v>29440</v>
          </cell>
          <cell r="K94" t="str">
            <v>Male</v>
          </cell>
        </row>
        <row r="95">
          <cell r="F95" t="str">
            <v>John Doe</v>
          </cell>
          <cell r="G95" t="str">
            <v>Furniture</v>
          </cell>
          <cell r="H95">
            <v>130</v>
          </cell>
          <cell r="I95">
            <v>16740</v>
          </cell>
          <cell r="K95" t="str">
            <v>Female</v>
          </cell>
        </row>
        <row r="96">
          <cell r="F96" t="str">
            <v>Sarah Lee</v>
          </cell>
          <cell r="G96" t="str">
            <v>Electronics</v>
          </cell>
          <cell r="H96">
            <v>79</v>
          </cell>
          <cell r="I96">
            <v>11078</v>
          </cell>
          <cell r="K96" t="str">
            <v>Female</v>
          </cell>
        </row>
        <row r="97">
          <cell r="F97" t="str">
            <v>Nancy Grey</v>
          </cell>
          <cell r="G97" t="str">
            <v>Electronics</v>
          </cell>
          <cell r="H97">
            <v>216</v>
          </cell>
          <cell r="I97">
            <v>36934</v>
          </cell>
          <cell r="K97" t="str">
            <v>Female</v>
          </cell>
        </row>
        <row r="98">
          <cell r="F98" t="str">
            <v>Jane Smith</v>
          </cell>
          <cell r="G98" t="str">
            <v>Automobiles</v>
          </cell>
          <cell r="H98">
            <v>332</v>
          </cell>
          <cell r="I98">
            <v>679</v>
          </cell>
          <cell r="J98">
            <v>2.0451807228915664</v>
          </cell>
          <cell r="K98" t="str">
            <v>Female</v>
          </cell>
        </row>
        <row r="99">
          <cell r="F99" t="str">
            <v>Nancy Grey</v>
          </cell>
          <cell r="G99" t="str">
            <v>Electronics</v>
          </cell>
          <cell r="H99">
            <v>115</v>
          </cell>
          <cell r="I99">
            <v>14076</v>
          </cell>
          <cell r="K99" t="str">
            <v>Female</v>
          </cell>
        </row>
        <row r="100">
          <cell r="F100" t="str">
            <v>Chris Green</v>
          </cell>
          <cell r="G100" t="str">
            <v>Automobiles</v>
          </cell>
          <cell r="H100">
            <v>443</v>
          </cell>
          <cell r="I100">
            <v>50652</v>
          </cell>
          <cell r="K100" t="str">
            <v>Male</v>
          </cell>
        </row>
        <row r="101">
          <cell r="F101" t="str">
            <v>Jane Smith</v>
          </cell>
          <cell r="G101" t="str">
            <v>Automobiles</v>
          </cell>
          <cell r="H101">
            <v>465</v>
          </cell>
          <cell r="I101">
            <v>679</v>
          </cell>
          <cell r="J101">
            <v>1.4602150537634409</v>
          </cell>
          <cell r="K101" t="str">
            <v>Female</v>
          </cell>
        </row>
        <row r="102">
          <cell r="F102" t="str">
            <v>Andrew Blue</v>
          </cell>
          <cell r="G102" t="str">
            <v>Machinery</v>
          </cell>
          <cell r="H102">
            <v>68</v>
          </cell>
          <cell r="I102">
            <v>11696</v>
          </cell>
          <cell r="K102" t="str">
            <v>Male</v>
          </cell>
        </row>
        <row r="103">
          <cell r="F103" t="str">
            <v>John Doe</v>
          </cell>
          <cell r="G103" t="str">
            <v>Electronics</v>
          </cell>
          <cell r="H103">
            <v>435</v>
          </cell>
          <cell r="I103">
            <v>64090</v>
          </cell>
          <cell r="K103" t="str">
            <v>Female</v>
          </cell>
        </row>
        <row r="104">
          <cell r="F104" t="str">
            <v>Nancy Grey</v>
          </cell>
          <cell r="G104" t="str">
            <v>Furniture</v>
          </cell>
          <cell r="H104">
            <v>115</v>
          </cell>
          <cell r="I104">
            <v>34804</v>
          </cell>
          <cell r="K104" t="str">
            <v>Female</v>
          </cell>
        </row>
        <row r="105">
          <cell r="F105" t="str">
            <v>Sarah Lee</v>
          </cell>
          <cell r="G105" t="str">
            <v>Automobiles</v>
          </cell>
          <cell r="H105">
            <v>248</v>
          </cell>
          <cell r="I105">
            <v>12870</v>
          </cell>
          <cell r="K105" t="str">
            <v>Female</v>
          </cell>
        </row>
        <row r="106">
          <cell r="F106" t="str">
            <v>Jane Smith</v>
          </cell>
          <cell r="G106" t="str">
            <v>Automobiles</v>
          </cell>
          <cell r="H106">
            <v>376</v>
          </cell>
          <cell r="I106">
            <v>679</v>
          </cell>
          <cell r="J106">
            <v>1.8058510638297873</v>
          </cell>
          <cell r="K106" t="str">
            <v>Female</v>
          </cell>
        </row>
        <row r="107">
          <cell r="F107" t="str">
            <v>Jane Smith</v>
          </cell>
          <cell r="G107" t="str">
            <v>Electronics</v>
          </cell>
          <cell r="H107">
            <v>319</v>
          </cell>
          <cell r="I107">
            <v>4221</v>
          </cell>
          <cell r="J107">
            <v>13.231974921630094</v>
          </cell>
          <cell r="K107" t="str">
            <v>Male</v>
          </cell>
        </row>
        <row r="108">
          <cell r="F108" t="str">
            <v>Sarah Lee</v>
          </cell>
          <cell r="G108" t="str">
            <v>Machinery</v>
          </cell>
          <cell r="H108">
            <v>478</v>
          </cell>
          <cell r="I108">
            <v>76076</v>
          </cell>
          <cell r="K108" t="str">
            <v>Male</v>
          </cell>
        </row>
        <row r="109">
          <cell r="F109" t="str">
            <v>Nancy Grey</v>
          </cell>
          <cell r="G109" t="str">
            <v>Machinery</v>
          </cell>
          <cell r="H109">
            <v>265</v>
          </cell>
          <cell r="I109">
            <v>12320</v>
          </cell>
          <cell r="K109" t="str">
            <v>Female</v>
          </cell>
        </row>
        <row r="110">
          <cell r="F110" t="str">
            <v>Nancy Grey</v>
          </cell>
          <cell r="G110" t="str">
            <v>Automobiles</v>
          </cell>
          <cell r="H110">
            <v>396</v>
          </cell>
          <cell r="I110">
            <v>38480</v>
          </cell>
          <cell r="K110" t="str">
            <v>Female</v>
          </cell>
        </row>
        <row r="111">
          <cell r="F111" t="str">
            <v>David White</v>
          </cell>
          <cell r="G111" t="str">
            <v>Automobiles</v>
          </cell>
          <cell r="H111">
            <v>429</v>
          </cell>
          <cell r="I111">
            <v>58208</v>
          </cell>
          <cell r="K111" t="str">
            <v>Male</v>
          </cell>
        </row>
        <row r="112">
          <cell r="F112" t="str">
            <v>John Doe</v>
          </cell>
          <cell r="G112" t="str">
            <v>Automobiles</v>
          </cell>
          <cell r="H112">
            <v>305</v>
          </cell>
          <cell r="I112">
            <v>3186</v>
          </cell>
          <cell r="K112" t="str">
            <v>Female</v>
          </cell>
        </row>
        <row r="113">
          <cell r="F113" t="str">
            <v>Nancy Grey</v>
          </cell>
          <cell r="G113" t="str">
            <v>Electronics</v>
          </cell>
          <cell r="H113">
            <v>422</v>
          </cell>
          <cell r="I113">
            <v>13490</v>
          </cell>
          <cell r="K113" t="str">
            <v>Female</v>
          </cell>
        </row>
        <row r="114">
          <cell r="F114" t="str">
            <v>Andrew Blue</v>
          </cell>
          <cell r="G114" t="str">
            <v>Automobiles</v>
          </cell>
          <cell r="H114">
            <v>90</v>
          </cell>
          <cell r="I114">
            <v>42328</v>
          </cell>
          <cell r="K114" t="str">
            <v>Female</v>
          </cell>
        </row>
        <row r="115">
          <cell r="F115" t="str">
            <v>Nancy Grey</v>
          </cell>
          <cell r="G115" t="str">
            <v>Furniture</v>
          </cell>
          <cell r="H115">
            <v>306</v>
          </cell>
          <cell r="I115">
            <v>679</v>
          </cell>
          <cell r="K115" t="str">
            <v>Female</v>
          </cell>
        </row>
        <row r="116">
          <cell r="F116" t="str">
            <v>Emily Davis</v>
          </cell>
          <cell r="G116" t="str">
            <v>Automobiles</v>
          </cell>
          <cell r="H116">
            <v>62</v>
          </cell>
          <cell r="I116">
            <v>31500</v>
          </cell>
          <cell r="K116" t="str">
            <v>Male</v>
          </cell>
        </row>
        <row r="117">
          <cell r="F117" t="str">
            <v>Nancy Grey</v>
          </cell>
          <cell r="G117" t="str">
            <v>Automobiles</v>
          </cell>
          <cell r="H117">
            <v>406</v>
          </cell>
          <cell r="I117">
            <v>47880</v>
          </cell>
          <cell r="K117" t="str">
            <v>Male</v>
          </cell>
        </row>
        <row r="118">
          <cell r="F118" t="str">
            <v>Sarah Lee</v>
          </cell>
          <cell r="G118" t="str">
            <v>Furniture</v>
          </cell>
          <cell r="H118">
            <v>183</v>
          </cell>
          <cell r="I118">
            <v>679</v>
          </cell>
          <cell r="K118" t="str">
            <v>Male</v>
          </cell>
        </row>
        <row r="119">
          <cell r="F119" t="str">
            <v>Nancy Grey</v>
          </cell>
          <cell r="G119" t="str">
            <v>Electronics</v>
          </cell>
          <cell r="H119">
            <v>369</v>
          </cell>
          <cell r="I119">
            <v>5246</v>
          </cell>
          <cell r="K119" t="str">
            <v>Male</v>
          </cell>
        </row>
        <row r="120">
          <cell r="F120" t="str">
            <v>Nancy Grey</v>
          </cell>
          <cell r="G120" t="str">
            <v>Machinery</v>
          </cell>
          <cell r="H120">
            <v>519</v>
          </cell>
          <cell r="I120">
            <v>45312</v>
          </cell>
          <cell r="K120" t="str">
            <v>Male</v>
          </cell>
        </row>
        <row r="121">
          <cell r="F121" t="str">
            <v>Nancy Grey</v>
          </cell>
          <cell r="G121" t="str">
            <v>Furniture</v>
          </cell>
          <cell r="H121">
            <v>491</v>
          </cell>
          <cell r="I121">
            <v>59458</v>
          </cell>
          <cell r="K121" t="str">
            <v>Male</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t Marakna" refreshedDate="46113.590738310188" createdVersion="6" refreshedVersion="6" minRefreshableVersion="3" recordCount="120">
  <cacheSource type="worksheet">
    <worksheetSource ref="A1:M121" sheet="Production Dataset" r:id="rId2"/>
  </cacheSource>
  <cacheFields count="13">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acheField>
    <cacheField name="Month" numFmtId="14">
      <sharedItems count="12">
        <s v="Sep"/>
        <s v="Oct"/>
        <s v="Nov"/>
        <s v="Dec"/>
        <s v="Jan"/>
        <s v="Feb"/>
        <s v="Mar"/>
        <s v="Apr"/>
        <s v="May"/>
        <s v="Jun"/>
        <s v="Jul"/>
        <s v="Aug"/>
      </sharedItems>
    </cacheField>
    <cacheField name="Year" numFmtId="14">
      <sharedItems/>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ount="111">
        <n v="214"/>
        <n v="344"/>
        <n v="213"/>
        <n v="290"/>
        <n v="231"/>
        <n v="260"/>
        <n v="459"/>
        <n v="384"/>
        <n v="240"/>
        <n v="63"/>
        <n v="208"/>
        <n v="55"/>
        <n v="165"/>
        <n v="288"/>
        <n v="460"/>
        <n v="541"/>
        <n v="335"/>
        <n v="126"/>
        <n v="177"/>
        <n v="439"/>
        <n v="666"/>
        <n v="359"/>
        <n v="511"/>
        <n v="333"/>
        <n v="354"/>
        <n v="545"/>
        <n v="331"/>
        <n v="86"/>
        <n v="289"/>
        <n v="97"/>
        <n v="366"/>
        <n v="222"/>
        <n v="151"/>
        <n v="307"/>
        <n v="444"/>
        <n v="404"/>
        <n v="160"/>
        <n v="368"/>
        <n v="180"/>
        <n v="255"/>
        <n v="458"/>
        <n v="447"/>
        <n v="250"/>
        <n v="264"/>
        <n v="199"/>
        <n v="60"/>
        <n v="192"/>
        <n v="193"/>
        <n v="209"/>
        <n v="494"/>
        <n v="32"/>
        <n v="499"/>
        <n v="128"/>
        <n v="308"/>
        <n v="95"/>
        <n v="401"/>
        <n v="74"/>
        <n v="535"/>
        <n v="380"/>
        <n v="343"/>
        <n v="318"/>
        <n v="218"/>
        <n v="497"/>
        <n v="358"/>
        <n v="84"/>
        <n v="81"/>
        <n v="389"/>
        <n v="178"/>
        <n v="527"/>
        <n v="145"/>
        <n v="495"/>
        <n v="412"/>
        <n v="363"/>
        <n v="155"/>
        <n v="190"/>
        <n v="51"/>
        <n v="383"/>
        <n v="462"/>
        <n v="236"/>
        <n v="430"/>
        <n v="382"/>
        <n v="173"/>
        <n v="188"/>
        <n v="386"/>
        <n v="322"/>
        <n v="130"/>
        <n v="79"/>
        <n v="216"/>
        <n v="332"/>
        <n v="115"/>
        <n v="443"/>
        <n v="465"/>
        <n v="68"/>
        <n v="435"/>
        <n v="248"/>
        <n v="376"/>
        <n v="319"/>
        <n v="478"/>
        <n v="265"/>
        <n v="396"/>
        <n v="429"/>
        <n v="305"/>
        <n v="422"/>
        <n v="90"/>
        <n v="306"/>
        <n v="62"/>
        <n v="406"/>
        <n v="183"/>
        <n v="369"/>
        <n v="519"/>
        <n v="491"/>
      </sharedItems>
    </cacheField>
    <cacheField name="TotalCost" numFmtId="0">
      <sharedItems containsSemiMixedTypes="0" containsString="0" containsNumber="1" containsInteger="1" minValue="679" maxValue="76076" count="105">
        <n v="11954"/>
        <n v="13872"/>
        <n v="42028"/>
        <n v="15132"/>
        <n v="32045"/>
        <n v="34680"/>
        <n v="17069"/>
        <n v="40565"/>
        <n v="65052"/>
        <n v="3960"/>
        <n v="25758"/>
        <n v="25893"/>
        <n v="679"/>
        <n v="33284"/>
        <n v="50274"/>
        <n v="42432"/>
        <n v="36984"/>
        <n v="40446"/>
        <n v="30600"/>
        <n v="31392"/>
        <n v="64635"/>
        <n v="12753"/>
        <n v="16698"/>
        <n v="48000"/>
        <n v="65250"/>
        <n v="27140"/>
        <n v="25853"/>
        <n v="31122"/>
        <n v="24948"/>
        <n v="4131"/>
        <n v="17500"/>
        <n v="8475"/>
        <n v="7272"/>
        <n v="13310"/>
        <n v="59248"/>
        <n v="25254"/>
        <n v="33684"/>
        <n v="57706"/>
        <n v="42873"/>
        <n v="52269"/>
        <n v="11385"/>
        <n v="75332"/>
        <n v="56118"/>
        <n v="5822"/>
        <n v="18648"/>
        <n v="18796"/>
        <n v="4984"/>
        <n v="51221"/>
        <n v="46767"/>
        <n v="3132"/>
        <n v="48316"/>
        <n v="35088"/>
        <n v="27956"/>
        <n v="46800"/>
        <n v="19691"/>
        <n v="36708"/>
        <n v="44330"/>
        <n v="44525"/>
        <n v="33344"/>
        <n v="16864"/>
        <n v="7125"/>
        <n v="46548"/>
        <n v="13568"/>
        <n v="10688"/>
        <n v="31414"/>
        <n v="37744"/>
        <n v="51168"/>
        <n v="43615"/>
        <n v="22288"/>
        <n v="38232"/>
        <n v="11092"/>
        <n v="28050"/>
        <n v="56888"/>
        <n v="39008"/>
        <n v="35280"/>
        <n v="26145"/>
        <n v="66500"/>
        <n v="37490"/>
        <n v="24549"/>
        <n v="47952"/>
        <n v="41349"/>
        <n v="46068"/>
        <n v="29440"/>
        <n v="16740"/>
        <n v="11078"/>
        <n v="36934"/>
        <n v="14076"/>
        <n v="50652"/>
        <n v="11696"/>
        <n v="64090"/>
        <n v="34804"/>
        <n v="12870"/>
        <n v="4221"/>
        <n v="76076"/>
        <n v="12320"/>
        <n v="38480"/>
        <n v="58208"/>
        <n v="3186"/>
        <n v="13490"/>
        <n v="42328"/>
        <n v="31500"/>
        <n v="47880"/>
        <n v="5246"/>
        <n v="45312"/>
        <n v="59458"/>
      </sharedItems>
    </cacheField>
    <cacheField name="Production Cost" numFmtId="0">
      <sharedItems containsString="0" containsBlank="1" containsNumber="1" minValue="1.4602150537634409" maxValue="496.05405405405406" count="19">
        <n v="55.859813084112147"/>
        <m/>
        <n v="109.29130434782608"/>
        <n v="78.432532347504619"/>
        <n v="71.50797266514806"/>
        <n v="32.677103718199611"/>
        <n v="119.72477064220183"/>
        <n v="32.945544554455445"/>
        <n v="97.388601036269435"/>
        <n v="7"/>
        <n v="49.104738154613464"/>
        <n v="496.05405405405406"/>
        <n v="387.82716049382714"/>
        <n v="97.092979127134726"/>
        <n v="232.29775280898878"/>
        <n v="2.0451807228915664"/>
        <n v="1.4602150537634409"/>
        <n v="1.8058510638297873"/>
        <n v="13.231974921630094"/>
      </sharedItems>
    </cacheField>
    <cacheField name="Gender" numFmtId="0">
      <sharedItems count="3">
        <s v="Female"/>
        <s v="Unknown"/>
        <s v="Male"/>
      </sharedItems>
    </cacheField>
    <cacheField name="Age" numFmtId="0">
      <sharedItems containsSemiMixedTypes="0" containsString="0" containsNumber="1" containsInteger="1" minValue="25" maxValue="57"/>
    </cacheField>
    <cacheField name="Age Group" numFmtId="0">
      <sharedItems count="3">
        <s v="A1"/>
        <s v="A2"/>
        <s v="A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n v="48"/>
    <d v="2023-09-22T00:00:00"/>
    <x v="0"/>
    <s v="2023"/>
    <x v="0"/>
    <x v="0"/>
    <x v="0"/>
    <x v="0"/>
    <x v="0"/>
    <x v="0"/>
    <x v="0"/>
    <n v="26"/>
    <x v="0"/>
  </r>
  <r>
    <n v="56"/>
    <d v="2023-09-24T00:00:00"/>
    <x v="0"/>
    <s v="2023"/>
    <x v="1"/>
    <x v="1"/>
    <x v="1"/>
    <x v="1"/>
    <x v="1"/>
    <x v="1"/>
    <x v="0"/>
    <n v="42"/>
    <x v="1"/>
  </r>
  <r>
    <n v="74"/>
    <d v="2023-09-28T00:00:00"/>
    <x v="0"/>
    <s v="2023"/>
    <x v="1"/>
    <x v="2"/>
    <x v="0"/>
    <x v="2"/>
    <x v="2"/>
    <x v="1"/>
    <x v="0"/>
    <n v="52"/>
    <x v="2"/>
  </r>
  <r>
    <n v="30"/>
    <d v="2023-10-01T00:00:00"/>
    <x v="1"/>
    <s v="2023"/>
    <x v="1"/>
    <x v="3"/>
    <x v="1"/>
    <x v="3"/>
    <x v="3"/>
    <x v="1"/>
    <x v="1"/>
    <n v="25"/>
    <x v="0"/>
  </r>
  <r>
    <n v="46"/>
    <d v="2023-10-08T00:00:00"/>
    <x v="1"/>
    <s v="2023"/>
    <x v="1"/>
    <x v="4"/>
    <x v="1"/>
    <x v="4"/>
    <x v="4"/>
    <x v="1"/>
    <x v="0"/>
    <n v="28"/>
    <x v="0"/>
  </r>
  <r>
    <n v="35"/>
    <d v="2023-10-15T00:00:00"/>
    <x v="1"/>
    <s v="2023"/>
    <x v="1"/>
    <x v="2"/>
    <x v="2"/>
    <x v="5"/>
    <x v="5"/>
    <x v="1"/>
    <x v="2"/>
    <n v="52"/>
    <x v="2"/>
  </r>
  <r>
    <n v="4"/>
    <d v="2023-10-15T00:00:00"/>
    <x v="1"/>
    <s v="2023"/>
    <x v="1"/>
    <x v="5"/>
    <x v="2"/>
    <x v="6"/>
    <x v="6"/>
    <x v="1"/>
    <x v="1"/>
    <n v="57"/>
    <x v="2"/>
  </r>
  <r>
    <n v="101"/>
    <d v="2023-10-16T00:00:00"/>
    <x v="1"/>
    <s v="2023"/>
    <x v="2"/>
    <x v="6"/>
    <x v="3"/>
    <x v="7"/>
    <x v="7"/>
    <x v="1"/>
    <x v="0"/>
    <n v="25"/>
    <x v="0"/>
  </r>
  <r>
    <n v="17"/>
    <d v="2023-10-16T00:00:00"/>
    <x v="1"/>
    <s v="2023"/>
    <x v="1"/>
    <x v="1"/>
    <x v="2"/>
    <x v="8"/>
    <x v="8"/>
    <x v="1"/>
    <x v="0"/>
    <n v="42"/>
    <x v="1"/>
  </r>
  <r>
    <n v="53"/>
    <d v="2023-10-17T00:00:00"/>
    <x v="1"/>
    <s v="2023"/>
    <x v="3"/>
    <x v="1"/>
    <x v="2"/>
    <x v="9"/>
    <x v="9"/>
    <x v="1"/>
    <x v="2"/>
    <n v="42"/>
    <x v="1"/>
  </r>
  <r>
    <n v="76"/>
    <d v="2023-10-18T00:00:00"/>
    <x v="1"/>
    <s v="2023"/>
    <x v="0"/>
    <x v="6"/>
    <x v="0"/>
    <x v="10"/>
    <x v="10"/>
    <x v="1"/>
    <x v="1"/>
    <n v="25"/>
    <x v="0"/>
  </r>
  <r>
    <n v="9"/>
    <d v="2023-10-18T00:00:00"/>
    <x v="1"/>
    <s v="2023"/>
    <x v="1"/>
    <x v="1"/>
    <x v="0"/>
    <x v="11"/>
    <x v="11"/>
    <x v="1"/>
    <x v="2"/>
    <n v="42"/>
    <x v="1"/>
  </r>
  <r>
    <n v="40"/>
    <d v="2023-10-22T00:00:00"/>
    <x v="1"/>
    <s v="2023"/>
    <x v="3"/>
    <x v="2"/>
    <x v="1"/>
    <x v="12"/>
    <x v="12"/>
    <x v="1"/>
    <x v="2"/>
    <n v="52"/>
    <x v="2"/>
  </r>
  <r>
    <n v="47"/>
    <d v="2023-10-29T00:00:00"/>
    <x v="1"/>
    <s v="2023"/>
    <x v="3"/>
    <x v="5"/>
    <x v="1"/>
    <x v="13"/>
    <x v="13"/>
    <x v="1"/>
    <x v="0"/>
    <n v="57"/>
    <x v="2"/>
  </r>
  <r>
    <n v="36"/>
    <d v="2023-10-31T00:00:00"/>
    <x v="1"/>
    <s v="2023"/>
    <x v="1"/>
    <x v="0"/>
    <x v="2"/>
    <x v="14"/>
    <x v="14"/>
    <x v="2"/>
    <x v="2"/>
    <n v="26"/>
    <x v="0"/>
  </r>
  <r>
    <n v="115"/>
    <d v="2023-11-02T00:00:00"/>
    <x v="2"/>
    <s v="2023"/>
    <x v="1"/>
    <x v="0"/>
    <x v="1"/>
    <x v="15"/>
    <x v="15"/>
    <x v="3"/>
    <x v="0"/>
    <n v="26"/>
    <x v="0"/>
  </r>
  <r>
    <n v="70"/>
    <d v="2023-11-02T00:00:00"/>
    <x v="2"/>
    <s v="2023"/>
    <x v="0"/>
    <x v="1"/>
    <x v="3"/>
    <x v="16"/>
    <x v="16"/>
    <x v="1"/>
    <x v="0"/>
    <n v="42"/>
    <x v="1"/>
  </r>
  <r>
    <n v="114"/>
    <d v="2023-11-03T00:00:00"/>
    <x v="2"/>
    <s v="2023"/>
    <x v="0"/>
    <x v="5"/>
    <x v="1"/>
    <x v="17"/>
    <x v="17"/>
    <x v="1"/>
    <x v="1"/>
    <n v="57"/>
    <x v="2"/>
  </r>
  <r>
    <n v="50"/>
    <d v="2023-11-04T00:00:00"/>
    <x v="2"/>
    <s v="2023"/>
    <x v="0"/>
    <x v="6"/>
    <x v="3"/>
    <x v="18"/>
    <x v="18"/>
    <x v="1"/>
    <x v="2"/>
    <n v="25"/>
    <x v="0"/>
  </r>
  <r>
    <n v="25"/>
    <d v="2023-11-05T00:00:00"/>
    <x v="2"/>
    <s v="2023"/>
    <x v="1"/>
    <x v="0"/>
    <x v="1"/>
    <x v="19"/>
    <x v="19"/>
    <x v="4"/>
    <x v="2"/>
    <n v="26"/>
    <x v="0"/>
  </r>
  <r>
    <n v="116"/>
    <d v="2023-11-10T00:00:00"/>
    <x v="2"/>
    <s v="2023"/>
    <x v="0"/>
    <x v="4"/>
    <x v="3"/>
    <x v="20"/>
    <x v="20"/>
    <x v="1"/>
    <x v="2"/>
    <n v="28"/>
    <x v="0"/>
  </r>
  <r>
    <n v="104"/>
    <d v="2023-11-13T00:00:00"/>
    <x v="2"/>
    <s v="2023"/>
    <x v="1"/>
    <x v="1"/>
    <x v="2"/>
    <x v="21"/>
    <x v="21"/>
    <x v="1"/>
    <x v="2"/>
    <n v="42"/>
    <x v="1"/>
  </r>
  <r>
    <n v="67"/>
    <d v="2023-11-19T00:00:00"/>
    <x v="2"/>
    <s v="2023"/>
    <x v="1"/>
    <x v="0"/>
    <x v="1"/>
    <x v="22"/>
    <x v="22"/>
    <x v="5"/>
    <x v="1"/>
    <n v="26"/>
    <x v="0"/>
  </r>
  <r>
    <n v="34"/>
    <d v="2023-11-21T00:00:00"/>
    <x v="2"/>
    <s v="2023"/>
    <x v="1"/>
    <x v="7"/>
    <x v="2"/>
    <x v="23"/>
    <x v="23"/>
    <x v="1"/>
    <x v="0"/>
    <n v="28"/>
    <x v="0"/>
  </r>
  <r>
    <n v="43"/>
    <d v="2023-11-22T00:00:00"/>
    <x v="2"/>
    <s v="2023"/>
    <x v="0"/>
    <x v="1"/>
    <x v="1"/>
    <x v="24"/>
    <x v="12"/>
    <x v="1"/>
    <x v="2"/>
    <n v="42"/>
    <x v="1"/>
  </r>
  <r>
    <n v="83"/>
    <d v="2023-11-24T00:00:00"/>
    <x v="2"/>
    <s v="2023"/>
    <x v="1"/>
    <x v="0"/>
    <x v="2"/>
    <x v="25"/>
    <x v="24"/>
    <x v="6"/>
    <x v="0"/>
    <n v="26"/>
    <x v="0"/>
  </r>
  <r>
    <n v="20"/>
    <d v="2023-11-24T00:00:00"/>
    <x v="2"/>
    <s v="2023"/>
    <x v="1"/>
    <x v="1"/>
    <x v="0"/>
    <x v="26"/>
    <x v="25"/>
    <x v="1"/>
    <x v="2"/>
    <n v="42"/>
    <x v="1"/>
  </r>
  <r>
    <n v="109"/>
    <d v="2023-11-26T00:00:00"/>
    <x v="2"/>
    <s v="2023"/>
    <x v="3"/>
    <x v="7"/>
    <x v="1"/>
    <x v="27"/>
    <x v="26"/>
    <x v="1"/>
    <x v="0"/>
    <n v="28"/>
    <x v="0"/>
  </r>
  <r>
    <n v="108"/>
    <d v="2023-12-04T00:00:00"/>
    <x v="3"/>
    <s v="2023"/>
    <x v="1"/>
    <x v="1"/>
    <x v="1"/>
    <x v="0"/>
    <x v="27"/>
    <x v="1"/>
    <x v="2"/>
    <n v="42"/>
    <x v="1"/>
  </r>
  <r>
    <n v="118"/>
    <d v="2023-12-13T00:00:00"/>
    <x v="3"/>
    <s v="2023"/>
    <x v="1"/>
    <x v="1"/>
    <x v="1"/>
    <x v="28"/>
    <x v="28"/>
    <x v="1"/>
    <x v="2"/>
    <n v="42"/>
    <x v="1"/>
  </r>
  <r>
    <n v="103"/>
    <d v="2023-12-14T00:00:00"/>
    <x v="3"/>
    <s v="2023"/>
    <x v="3"/>
    <x v="5"/>
    <x v="1"/>
    <x v="29"/>
    <x v="12"/>
    <x v="1"/>
    <x v="0"/>
    <n v="57"/>
    <x v="2"/>
  </r>
  <r>
    <n v="93"/>
    <d v="2023-12-17T00:00:00"/>
    <x v="3"/>
    <s v="2023"/>
    <x v="2"/>
    <x v="7"/>
    <x v="1"/>
    <x v="30"/>
    <x v="29"/>
    <x v="1"/>
    <x v="2"/>
    <n v="28"/>
    <x v="0"/>
  </r>
  <r>
    <n v="98"/>
    <d v="2023-12-22T00:00:00"/>
    <x v="3"/>
    <s v="2023"/>
    <x v="1"/>
    <x v="5"/>
    <x v="2"/>
    <x v="31"/>
    <x v="30"/>
    <x v="1"/>
    <x v="2"/>
    <n v="57"/>
    <x v="2"/>
  </r>
  <r>
    <n v="61"/>
    <d v="2023-12-26T00:00:00"/>
    <x v="3"/>
    <s v="2023"/>
    <x v="1"/>
    <x v="2"/>
    <x v="1"/>
    <x v="32"/>
    <x v="31"/>
    <x v="1"/>
    <x v="0"/>
    <n v="52"/>
    <x v="2"/>
  </r>
  <r>
    <n v="100"/>
    <d v="2023-12-26T00:00:00"/>
    <x v="3"/>
    <s v="2023"/>
    <x v="1"/>
    <x v="2"/>
    <x v="0"/>
    <x v="33"/>
    <x v="12"/>
    <x v="1"/>
    <x v="0"/>
    <n v="52"/>
    <x v="2"/>
  </r>
  <r>
    <n v="28"/>
    <d v="2023-12-26T00:00:00"/>
    <x v="3"/>
    <s v="2023"/>
    <x v="1"/>
    <x v="5"/>
    <x v="1"/>
    <x v="34"/>
    <x v="32"/>
    <x v="1"/>
    <x v="2"/>
    <n v="57"/>
    <x v="2"/>
  </r>
  <r>
    <n v="90"/>
    <d v="2023-12-29T00:00:00"/>
    <x v="3"/>
    <s v="2023"/>
    <x v="1"/>
    <x v="0"/>
    <x v="3"/>
    <x v="35"/>
    <x v="33"/>
    <x v="7"/>
    <x v="0"/>
    <n v="26"/>
    <x v="0"/>
  </r>
  <r>
    <n v="58"/>
    <d v="2024-01-01T00:00:00"/>
    <x v="4"/>
    <s v="2024"/>
    <x v="2"/>
    <x v="1"/>
    <x v="1"/>
    <x v="36"/>
    <x v="34"/>
    <x v="1"/>
    <x v="0"/>
    <n v="42"/>
    <x v="1"/>
  </r>
  <r>
    <n v="97"/>
    <d v="2024-01-02T00:00:00"/>
    <x v="4"/>
    <s v="2024"/>
    <x v="1"/>
    <x v="6"/>
    <x v="0"/>
    <x v="37"/>
    <x v="35"/>
    <x v="1"/>
    <x v="0"/>
    <n v="25"/>
    <x v="0"/>
  </r>
  <r>
    <n v="22"/>
    <d v="2024-01-03T00:00:00"/>
    <x v="4"/>
    <s v="2024"/>
    <x v="1"/>
    <x v="8"/>
    <x v="2"/>
    <x v="38"/>
    <x v="36"/>
    <x v="1"/>
    <x v="0"/>
    <n v="49"/>
    <x v="2"/>
  </r>
  <r>
    <n v="57"/>
    <d v="2024-01-05T00:00:00"/>
    <x v="4"/>
    <s v="2024"/>
    <x v="1"/>
    <x v="6"/>
    <x v="3"/>
    <x v="39"/>
    <x v="37"/>
    <x v="1"/>
    <x v="0"/>
    <n v="25"/>
    <x v="0"/>
  </r>
  <r>
    <n v="24"/>
    <d v="2024-01-05T00:00:00"/>
    <x v="4"/>
    <s v="2024"/>
    <x v="2"/>
    <x v="5"/>
    <x v="2"/>
    <x v="40"/>
    <x v="38"/>
    <x v="1"/>
    <x v="0"/>
    <n v="57"/>
    <x v="2"/>
  </r>
  <r>
    <n v="8"/>
    <d v="2024-01-08T00:00:00"/>
    <x v="4"/>
    <s v="2024"/>
    <x v="1"/>
    <x v="7"/>
    <x v="0"/>
    <x v="41"/>
    <x v="39"/>
    <x v="1"/>
    <x v="2"/>
    <n v="28"/>
    <x v="0"/>
  </r>
  <r>
    <n v="21"/>
    <d v="2024-01-13T00:00:00"/>
    <x v="4"/>
    <s v="2024"/>
    <x v="2"/>
    <x v="1"/>
    <x v="2"/>
    <x v="42"/>
    <x v="40"/>
    <x v="1"/>
    <x v="2"/>
    <n v="42"/>
    <x v="1"/>
  </r>
  <r>
    <n v="88"/>
    <d v="2024-01-14T00:00:00"/>
    <x v="4"/>
    <s v="2024"/>
    <x v="0"/>
    <x v="4"/>
    <x v="3"/>
    <x v="43"/>
    <x v="41"/>
    <x v="1"/>
    <x v="0"/>
    <n v="28"/>
    <x v="0"/>
  </r>
  <r>
    <n v="119"/>
    <d v="2024-01-14T00:00:00"/>
    <x v="4"/>
    <s v="2024"/>
    <x v="1"/>
    <x v="5"/>
    <x v="0"/>
    <x v="44"/>
    <x v="42"/>
    <x v="1"/>
    <x v="1"/>
    <n v="57"/>
    <x v="2"/>
  </r>
  <r>
    <n v="86"/>
    <d v="2024-01-16T00:00:00"/>
    <x v="4"/>
    <s v="2024"/>
    <x v="2"/>
    <x v="4"/>
    <x v="1"/>
    <x v="45"/>
    <x v="43"/>
    <x v="1"/>
    <x v="2"/>
    <n v="28"/>
    <x v="0"/>
  </r>
  <r>
    <n v="85"/>
    <d v="2024-01-18T00:00:00"/>
    <x v="4"/>
    <s v="2024"/>
    <x v="1"/>
    <x v="1"/>
    <x v="0"/>
    <x v="46"/>
    <x v="44"/>
    <x v="1"/>
    <x v="0"/>
    <n v="42"/>
    <x v="1"/>
  </r>
  <r>
    <n v="16"/>
    <d v="2024-01-27T00:00:00"/>
    <x v="4"/>
    <s v="2024"/>
    <x v="0"/>
    <x v="0"/>
    <x v="3"/>
    <x v="47"/>
    <x v="45"/>
    <x v="8"/>
    <x v="2"/>
    <n v="26"/>
    <x v="0"/>
  </r>
  <r>
    <n v="92"/>
    <d v="2024-02-07T00:00:00"/>
    <x v="5"/>
    <s v="2024"/>
    <x v="2"/>
    <x v="6"/>
    <x v="2"/>
    <x v="0"/>
    <x v="46"/>
    <x v="1"/>
    <x v="2"/>
    <n v="25"/>
    <x v="0"/>
  </r>
  <r>
    <n v="87"/>
    <d v="2024-02-08T00:00:00"/>
    <x v="5"/>
    <s v="2024"/>
    <x v="1"/>
    <x v="1"/>
    <x v="3"/>
    <x v="48"/>
    <x v="47"/>
    <x v="1"/>
    <x v="0"/>
    <n v="42"/>
    <x v="1"/>
  </r>
  <r>
    <n v="11"/>
    <d v="2024-02-13T00:00:00"/>
    <x v="5"/>
    <s v="2024"/>
    <x v="1"/>
    <x v="3"/>
    <x v="2"/>
    <x v="49"/>
    <x v="48"/>
    <x v="1"/>
    <x v="0"/>
    <n v="25"/>
    <x v="0"/>
  </r>
  <r>
    <n v="81"/>
    <d v="2024-02-13T00:00:00"/>
    <x v="5"/>
    <s v="2024"/>
    <x v="3"/>
    <x v="1"/>
    <x v="1"/>
    <x v="50"/>
    <x v="49"/>
    <x v="1"/>
    <x v="2"/>
    <n v="42"/>
    <x v="1"/>
  </r>
  <r>
    <n v="29"/>
    <d v="2024-02-17T00:00:00"/>
    <x v="5"/>
    <s v="2024"/>
    <x v="1"/>
    <x v="1"/>
    <x v="0"/>
    <x v="51"/>
    <x v="50"/>
    <x v="1"/>
    <x v="0"/>
    <n v="42"/>
    <x v="1"/>
  </r>
  <r>
    <n v="96"/>
    <d v="2024-02-25T00:00:00"/>
    <x v="5"/>
    <s v="2024"/>
    <x v="0"/>
    <x v="4"/>
    <x v="1"/>
    <x v="52"/>
    <x v="51"/>
    <x v="1"/>
    <x v="2"/>
    <n v="28"/>
    <x v="0"/>
  </r>
  <r>
    <n v="89"/>
    <d v="2024-02-26T00:00:00"/>
    <x v="5"/>
    <s v="2024"/>
    <x v="1"/>
    <x v="0"/>
    <x v="0"/>
    <x v="29"/>
    <x v="12"/>
    <x v="9"/>
    <x v="0"/>
    <n v="26"/>
    <x v="0"/>
  </r>
  <r>
    <n v="68"/>
    <d v="2024-02-28T00:00:00"/>
    <x v="5"/>
    <s v="2024"/>
    <x v="2"/>
    <x v="8"/>
    <x v="1"/>
    <x v="53"/>
    <x v="52"/>
    <x v="1"/>
    <x v="1"/>
    <n v="49"/>
    <x v="2"/>
  </r>
  <r>
    <n v="71"/>
    <d v="2024-02-28T00:00:00"/>
    <x v="5"/>
    <s v="2024"/>
    <x v="0"/>
    <x v="8"/>
    <x v="3"/>
    <x v="54"/>
    <x v="53"/>
    <x v="1"/>
    <x v="2"/>
    <n v="49"/>
    <x v="2"/>
  </r>
  <r>
    <n v="6"/>
    <d v="2024-02-28T00:00:00"/>
    <x v="5"/>
    <s v="2024"/>
    <x v="1"/>
    <x v="0"/>
    <x v="2"/>
    <x v="55"/>
    <x v="54"/>
    <x v="10"/>
    <x v="2"/>
    <n v="26"/>
    <x v="0"/>
  </r>
  <r>
    <n v="49"/>
    <d v="2024-02-28T00:00:00"/>
    <x v="5"/>
    <s v="2024"/>
    <x v="2"/>
    <x v="0"/>
    <x v="2"/>
    <x v="56"/>
    <x v="55"/>
    <x v="11"/>
    <x v="2"/>
    <n v="26"/>
    <x v="0"/>
  </r>
  <r>
    <n v="62"/>
    <d v="2024-02-28T00:00:00"/>
    <x v="5"/>
    <s v="2024"/>
    <x v="1"/>
    <x v="5"/>
    <x v="2"/>
    <x v="57"/>
    <x v="56"/>
    <x v="1"/>
    <x v="2"/>
    <n v="57"/>
    <x v="2"/>
  </r>
  <r>
    <n v="80"/>
    <d v="2024-02-28T00:00:00"/>
    <x v="5"/>
    <s v="2024"/>
    <x v="2"/>
    <x v="5"/>
    <x v="2"/>
    <x v="58"/>
    <x v="57"/>
    <x v="1"/>
    <x v="1"/>
    <n v="57"/>
    <x v="2"/>
  </r>
  <r>
    <n v="52"/>
    <d v="2024-02-28T00:00:00"/>
    <x v="5"/>
    <s v="2024"/>
    <x v="2"/>
    <x v="1"/>
    <x v="2"/>
    <x v="59"/>
    <x v="58"/>
    <x v="1"/>
    <x v="2"/>
    <n v="42"/>
    <x v="1"/>
  </r>
  <r>
    <n v="105"/>
    <d v="2024-02-28T00:00:00"/>
    <x v="5"/>
    <s v="2024"/>
    <x v="0"/>
    <x v="1"/>
    <x v="2"/>
    <x v="60"/>
    <x v="59"/>
    <x v="1"/>
    <x v="2"/>
    <n v="42"/>
    <x v="1"/>
  </r>
  <r>
    <n v="72"/>
    <d v="2024-03-05T00:00:00"/>
    <x v="6"/>
    <s v="2024"/>
    <x v="0"/>
    <x v="1"/>
    <x v="3"/>
    <x v="61"/>
    <x v="60"/>
    <x v="1"/>
    <x v="2"/>
    <n v="42"/>
    <x v="1"/>
  </r>
  <r>
    <n v="75"/>
    <d v="2024-03-06T00:00:00"/>
    <x v="6"/>
    <s v="2024"/>
    <x v="1"/>
    <x v="7"/>
    <x v="1"/>
    <x v="52"/>
    <x v="12"/>
    <x v="1"/>
    <x v="2"/>
    <n v="28"/>
    <x v="0"/>
  </r>
  <r>
    <n v="120"/>
    <d v="2024-03-10T00:00:00"/>
    <x v="6"/>
    <s v="2024"/>
    <x v="3"/>
    <x v="9"/>
    <x v="1"/>
    <x v="62"/>
    <x v="61"/>
    <x v="1"/>
    <x v="0"/>
    <n v="36"/>
    <x v="1"/>
  </r>
  <r>
    <n v="51"/>
    <d v="2024-03-13T00:00:00"/>
    <x v="6"/>
    <s v="2024"/>
    <x v="2"/>
    <x v="5"/>
    <x v="2"/>
    <x v="63"/>
    <x v="62"/>
    <x v="1"/>
    <x v="0"/>
    <n v="57"/>
    <x v="2"/>
  </r>
  <r>
    <n v="84"/>
    <d v="2024-03-18T00:00:00"/>
    <x v="6"/>
    <s v="2024"/>
    <x v="1"/>
    <x v="4"/>
    <x v="0"/>
    <x v="64"/>
    <x v="63"/>
    <x v="1"/>
    <x v="0"/>
    <n v="28"/>
    <x v="0"/>
  </r>
  <r>
    <n v="113"/>
    <d v="2024-03-19T00:00:00"/>
    <x v="6"/>
    <s v="2024"/>
    <x v="3"/>
    <x v="0"/>
    <x v="1"/>
    <x v="65"/>
    <x v="64"/>
    <x v="12"/>
    <x v="0"/>
    <n v="26"/>
    <x v="0"/>
  </r>
  <r>
    <n v="32"/>
    <d v="2024-03-20T00:00:00"/>
    <x v="6"/>
    <s v="2024"/>
    <x v="3"/>
    <x v="1"/>
    <x v="1"/>
    <x v="66"/>
    <x v="65"/>
    <x v="1"/>
    <x v="2"/>
    <n v="42"/>
    <x v="1"/>
  </r>
  <r>
    <n v="60"/>
    <d v="2024-03-21T00:00:00"/>
    <x v="6"/>
    <s v="2024"/>
    <x v="0"/>
    <x v="6"/>
    <x v="2"/>
    <x v="67"/>
    <x v="12"/>
    <x v="1"/>
    <x v="2"/>
    <n v="25"/>
    <x v="0"/>
  </r>
  <r>
    <n v="117"/>
    <d v="2024-03-23T00:00:00"/>
    <x v="6"/>
    <s v="2024"/>
    <x v="0"/>
    <x v="0"/>
    <x v="0"/>
    <x v="68"/>
    <x v="66"/>
    <x v="13"/>
    <x v="2"/>
    <n v="26"/>
    <x v="0"/>
  </r>
  <r>
    <n v="37"/>
    <d v="2024-03-26T00:00:00"/>
    <x v="6"/>
    <s v="2024"/>
    <x v="0"/>
    <x v="8"/>
    <x v="1"/>
    <x v="69"/>
    <x v="67"/>
    <x v="1"/>
    <x v="2"/>
    <n v="49"/>
    <x v="2"/>
  </r>
  <r>
    <n v="65"/>
    <d v="2024-03-27T00:00:00"/>
    <x v="6"/>
    <s v="2024"/>
    <x v="3"/>
    <x v="1"/>
    <x v="1"/>
    <x v="70"/>
    <x v="12"/>
    <x v="1"/>
    <x v="2"/>
    <n v="42"/>
    <x v="1"/>
  </r>
  <r>
    <n v="1"/>
    <d v="2024-03-29T00:00:00"/>
    <x v="6"/>
    <s v="2024"/>
    <x v="2"/>
    <x v="6"/>
    <x v="1"/>
    <x v="71"/>
    <x v="68"/>
    <x v="1"/>
    <x v="0"/>
    <n v="25"/>
    <x v="0"/>
  </r>
  <r>
    <n v="18"/>
    <d v="2024-03-30T00:00:00"/>
    <x v="6"/>
    <s v="2024"/>
    <x v="1"/>
    <x v="8"/>
    <x v="1"/>
    <x v="72"/>
    <x v="69"/>
    <x v="1"/>
    <x v="0"/>
    <n v="49"/>
    <x v="2"/>
  </r>
  <r>
    <n v="110"/>
    <d v="2024-04-01T00:00:00"/>
    <x v="7"/>
    <s v="2024"/>
    <x v="1"/>
    <x v="2"/>
    <x v="2"/>
    <x v="73"/>
    <x v="70"/>
    <x v="1"/>
    <x v="0"/>
    <n v="52"/>
    <x v="2"/>
  </r>
  <r>
    <n v="66"/>
    <d v="2024-04-08T00:00:00"/>
    <x v="7"/>
    <s v="2024"/>
    <x v="1"/>
    <x v="4"/>
    <x v="0"/>
    <x v="74"/>
    <x v="71"/>
    <x v="1"/>
    <x v="0"/>
    <n v="28"/>
    <x v="0"/>
  </r>
  <r>
    <n v="106"/>
    <d v="2024-04-10T00:00:00"/>
    <x v="7"/>
    <s v="2024"/>
    <x v="2"/>
    <x v="1"/>
    <x v="1"/>
    <x v="75"/>
    <x v="72"/>
    <x v="1"/>
    <x v="0"/>
    <n v="42"/>
    <x v="1"/>
  </r>
  <r>
    <n v="15"/>
    <d v="2024-04-16T00:00:00"/>
    <x v="7"/>
    <s v="2024"/>
    <x v="0"/>
    <x v="1"/>
    <x v="1"/>
    <x v="76"/>
    <x v="73"/>
    <x v="1"/>
    <x v="1"/>
    <n v="42"/>
    <x v="1"/>
  </r>
  <r>
    <n v="41"/>
    <d v="2024-04-25T00:00:00"/>
    <x v="7"/>
    <s v="2024"/>
    <x v="1"/>
    <x v="1"/>
    <x v="3"/>
    <x v="75"/>
    <x v="74"/>
    <x v="1"/>
    <x v="2"/>
    <n v="42"/>
    <x v="1"/>
  </r>
  <r>
    <n v="12"/>
    <d v="2024-04-28T00:00:00"/>
    <x v="7"/>
    <s v="2024"/>
    <x v="1"/>
    <x v="3"/>
    <x v="1"/>
    <x v="77"/>
    <x v="75"/>
    <x v="1"/>
    <x v="1"/>
    <n v="25"/>
    <x v="0"/>
  </r>
  <r>
    <n v="107"/>
    <d v="2024-04-30T00:00:00"/>
    <x v="7"/>
    <s v="2024"/>
    <x v="3"/>
    <x v="4"/>
    <x v="2"/>
    <x v="78"/>
    <x v="12"/>
    <x v="1"/>
    <x v="1"/>
    <n v="28"/>
    <x v="0"/>
  </r>
  <r>
    <n v="2"/>
    <d v="2024-05-08T00:00:00"/>
    <x v="8"/>
    <s v="2024"/>
    <x v="1"/>
    <x v="2"/>
    <x v="3"/>
    <x v="79"/>
    <x v="76"/>
    <x v="1"/>
    <x v="0"/>
    <n v="52"/>
    <x v="2"/>
  </r>
  <r>
    <n v="33"/>
    <d v="2024-05-10T00:00:00"/>
    <x v="8"/>
    <s v="2024"/>
    <x v="3"/>
    <x v="3"/>
    <x v="0"/>
    <x v="22"/>
    <x v="12"/>
    <x v="1"/>
    <x v="0"/>
    <n v="25"/>
    <x v="0"/>
  </r>
  <r>
    <n v="42"/>
    <d v="2024-05-12T00:00:00"/>
    <x v="8"/>
    <s v="2024"/>
    <x v="0"/>
    <x v="1"/>
    <x v="1"/>
    <x v="80"/>
    <x v="77"/>
    <x v="1"/>
    <x v="2"/>
    <n v="42"/>
    <x v="1"/>
  </r>
  <r>
    <n v="94"/>
    <d v="2024-05-15T00:00:00"/>
    <x v="8"/>
    <s v="2024"/>
    <x v="0"/>
    <x v="3"/>
    <x v="1"/>
    <x v="81"/>
    <x v="78"/>
    <x v="1"/>
    <x v="2"/>
    <n v="25"/>
    <x v="0"/>
  </r>
  <r>
    <n v="64"/>
    <d v="2024-05-20T00:00:00"/>
    <x v="8"/>
    <s v="2024"/>
    <x v="1"/>
    <x v="6"/>
    <x v="0"/>
    <x v="82"/>
    <x v="12"/>
    <x v="1"/>
    <x v="0"/>
    <n v="25"/>
    <x v="0"/>
  </r>
  <r>
    <n v="91"/>
    <d v="2024-06-01T00:00:00"/>
    <x v="9"/>
    <s v="2024"/>
    <x v="0"/>
    <x v="1"/>
    <x v="2"/>
    <x v="83"/>
    <x v="79"/>
    <x v="1"/>
    <x v="2"/>
    <n v="42"/>
    <x v="1"/>
  </r>
  <r>
    <n v="5"/>
    <d v="2024-06-06T00:00:00"/>
    <x v="9"/>
    <s v="2024"/>
    <x v="2"/>
    <x v="0"/>
    <x v="2"/>
    <x v="67"/>
    <x v="80"/>
    <x v="14"/>
    <x v="2"/>
    <n v="26"/>
    <x v="0"/>
  </r>
  <r>
    <n v="44"/>
    <d v="2024-06-08T00:00:00"/>
    <x v="9"/>
    <s v="2024"/>
    <x v="3"/>
    <x v="2"/>
    <x v="3"/>
    <x v="37"/>
    <x v="81"/>
    <x v="1"/>
    <x v="0"/>
    <n v="52"/>
    <x v="2"/>
  </r>
  <r>
    <n v="59"/>
    <d v="2024-06-10T00:00:00"/>
    <x v="9"/>
    <s v="2024"/>
    <x v="0"/>
    <x v="6"/>
    <x v="0"/>
    <x v="84"/>
    <x v="82"/>
    <x v="1"/>
    <x v="2"/>
    <n v="25"/>
    <x v="0"/>
  </r>
  <r>
    <n v="82"/>
    <d v="2024-06-14T00:00:00"/>
    <x v="9"/>
    <s v="2024"/>
    <x v="3"/>
    <x v="6"/>
    <x v="3"/>
    <x v="85"/>
    <x v="83"/>
    <x v="1"/>
    <x v="0"/>
    <n v="25"/>
    <x v="0"/>
  </r>
  <r>
    <n v="45"/>
    <d v="2024-06-15T00:00:00"/>
    <x v="9"/>
    <s v="2024"/>
    <x v="1"/>
    <x v="9"/>
    <x v="0"/>
    <x v="86"/>
    <x v="84"/>
    <x v="1"/>
    <x v="0"/>
    <n v="36"/>
    <x v="1"/>
  </r>
  <r>
    <n v="99"/>
    <d v="2024-06-21T00:00:00"/>
    <x v="9"/>
    <s v="2024"/>
    <x v="1"/>
    <x v="1"/>
    <x v="0"/>
    <x v="87"/>
    <x v="85"/>
    <x v="1"/>
    <x v="0"/>
    <n v="42"/>
    <x v="1"/>
  </r>
  <r>
    <n v="14"/>
    <d v="2024-06-22T00:00:00"/>
    <x v="9"/>
    <s v="2024"/>
    <x v="2"/>
    <x v="0"/>
    <x v="1"/>
    <x v="88"/>
    <x v="12"/>
    <x v="15"/>
    <x v="0"/>
    <n v="26"/>
    <x v="0"/>
  </r>
  <r>
    <n v="38"/>
    <d v="2024-06-24T00:00:00"/>
    <x v="9"/>
    <s v="2024"/>
    <x v="1"/>
    <x v="1"/>
    <x v="0"/>
    <x v="89"/>
    <x v="86"/>
    <x v="1"/>
    <x v="0"/>
    <n v="42"/>
    <x v="1"/>
  </r>
  <r>
    <n v="19"/>
    <d v="2024-06-26T00:00:00"/>
    <x v="9"/>
    <s v="2024"/>
    <x v="1"/>
    <x v="8"/>
    <x v="1"/>
    <x v="90"/>
    <x v="87"/>
    <x v="1"/>
    <x v="2"/>
    <n v="49"/>
    <x v="2"/>
  </r>
  <r>
    <n v="78"/>
    <d v="2024-06-26T00:00:00"/>
    <x v="9"/>
    <s v="2024"/>
    <x v="2"/>
    <x v="0"/>
    <x v="1"/>
    <x v="91"/>
    <x v="12"/>
    <x v="16"/>
    <x v="0"/>
    <n v="26"/>
    <x v="0"/>
  </r>
  <r>
    <n v="7"/>
    <d v="2024-06-29T00:00:00"/>
    <x v="9"/>
    <s v="2024"/>
    <x v="1"/>
    <x v="4"/>
    <x v="2"/>
    <x v="92"/>
    <x v="88"/>
    <x v="1"/>
    <x v="2"/>
    <n v="28"/>
    <x v="0"/>
  </r>
  <r>
    <n v="13"/>
    <d v="2024-06-29T00:00:00"/>
    <x v="9"/>
    <s v="2024"/>
    <x v="0"/>
    <x v="6"/>
    <x v="0"/>
    <x v="93"/>
    <x v="89"/>
    <x v="1"/>
    <x v="0"/>
    <n v="25"/>
    <x v="0"/>
  </r>
  <r>
    <n v="77"/>
    <d v="2024-07-05T00:00:00"/>
    <x v="10"/>
    <s v="2024"/>
    <x v="1"/>
    <x v="1"/>
    <x v="3"/>
    <x v="89"/>
    <x v="90"/>
    <x v="1"/>
    <x v="0"/>
    <n v="42"/>
    <x v="1"/>
  </r>
  <r>
    <n v="39"/>
    <d v="2024-07-16T00:00:00"/>
    <x v="10"/>
    <s v="2024"/>
    <x v="0"/>
    <x v="9"/>
    <x v="1"/>
    <x v="94"/>
    <x v="91"/>
    <x v="1"/>
    <x v="0"/>
    <n v="36"/>
    <x v="1"/>
  </r>
  <r>
    <n v="102"/>
    <d v="2024-07-24T00:00:00"/>
    <x v="10"/>
    <s v="2024"/>
    <x v="3"/>
    <x v="0"/>
    <x v="1"/>
    <x v="95"/>
    <x v="12"/>
    <x v="17"/>
    <x v="0"/>
    <n v="26"/>
    <x v="0"/>
  </r>
  <r>
    <n v="111"/>
    <d v="2024-07-24T00:00:00"/>
    <x v="10"/>
    <s v="2024"/>
    <x v="0"/>
    <x v="0"/>
    <x v="0"/>
    <x v="96"/>
    <x v="92"/>
    <x v="18"/>
    <x v="2"/>
    <n v="26"/>
    <x v="0"/>
  </r>
  <r>
    <n v="3"/>
    <d v="2024-07-31T00:00:00"/>
    <x v="10"/>
    <s v="2024"/>
    <x v="0"/>
    <x v="9"/>
    <x v="2"/>
    <x v="97"/>
    <x v="93"/>
    <x v="1"/>
    <x v="2"/>
    <n v="36"/>
    <x v="1"/>
  </r>
  <r>
    <n v="73"/>
    <d v="2024-08-02T00:00:00"/>
    <x v="11"/>
    <s v="2024"/>
    <x v="1"/>
    <x v="1"/>
    <x v="2"/>
    <x v="98"/>
    <x v="94"/>
    <x v="1"/>
    <x v="0"/>
    <n v="42"/>
    <x v="1"/>
  </r>
  <r>
    <n v="10"/>
    <d v="2024-08-04T00:00:00"/>
    <x v="11"/>
    <s v="2024"/>
    <x v="1"/>
    <x v="1"/>
    <x v="1"/>
    <x v="99"/>
    <x v="95"/>
    <x v="1"/>
    <x v="0"/>
    <n v="42"/>
    <x v="1"/>
  </r>
  <r>
    <n v="54"/>
    <d v="2024-08-06T00:00:00"/>
    <x v="11"/>
    <s v="2024"/>
    <x v="1"/>
    <x v="7"/>
    <x v="1"/>
    <x v="100"/>
    <x v="96"/>
    <x v="1"/>
    <x v="2"/>
    <n v="28"/>
    <x v="0"/>
  </r>
  <r>
    <n v="63"/>
    <d v="2024-08-06T00:00:00"/>
    <x v="11"/>
    <s v="2024"/>
    <x v="3"/>
    <x v="6"/>
    <x v="1"/>
    <x v="101"/>
    <x v="97"/>
    <x v="1"/>
    <x v="0"/>
    <n v="25"/>
    <x v="0"/>
  </r>
  <r>
    <n v="27"/>
    <d v="2024-08-07T00:00:00"/>
    <x v="11"/>
    <s v="2024"/>
    <x v="1"/>
    <x v="1"/>
    <x v="0"/>
    <x v="102"/>
    <x v="98"/>
    <x v="1"/>
    <x v="0"/>
    <n v="42"/>
    <x v="1"/>
  </r>
  <r>
    <n v="23"/>
    <d v="2024-08-16T00:00:00"/>
    <x v="11"/>
    <s v="2024"/>
    <x v="0"/>
    <x v="4"/>
    <x v="1"/>
    <x v="103"/>
    <x v="99"/>
    <x v="1"/>
    <x v="0"/>
    <n v="28"/>
    <x v="0"/>
  </r>
  <r>
    <n v="95"/>
    <d v="2024-08-17T00:00:00"/>
    <x v="11"/>
    <s v="2024"/>
    <x v="0"/>
    <x v="1"/>
    <x v="3"/>
    <x v="104"/>
    <x v="12"/>
    <x v="1"/>
    <x v="0"/>
    <n v="42"/>
    <x v="1"/>
  </r>
  <r>
    <n v="112"/>
    <d v="2024-08-23T00:00:00"/>
    <x v="11"/>
    <s v="2024"/>
    <x v="3"/>
    <x v="3"/>
    <x v="1"/>
    <x v="105"/>
    <x v="100"/>
    <x v="1"/>
    <x v="2"/>
    <n v="25"/>
    <x v="0"/>
  </r>
  <r>
    <n v="26"/>
    <d v="2024-08-26T00:00:00"/>
    <x v="11"/>
    <s v="2024"/>
    <x v="1"/>
    <x v="1"/>
    <x v="1"/>
    <x v="106"/>
    <x v="101"/>
    <x v="1"/>
    <x v="2"/>
    <n v="42"/>
    <x v="1"/>
  </r>
  <r>
    <n v="69"/>
    <d v="2024-08-28T00:00:00"/>
    <x v="11"/>
    <s v="2024"/>
    <x v="3"/>
    <x v="9"/>
    <x v="3"/>
    <x v="107"/>
    <x v="12"/>
    <x v="1"/>
    <x v="2"/>
    <n v="36"/>
    <x v="1"/>
  </r>
  <r>
    <n v="31"/>
    <d v="2024-09-08T00:00:00"/>
    <x v="0"/>
    <s v="2024"/>
    <x v="0"/>
    <x v="1"/>
    <x v="0"/>
    <x v="108"/>
    <x v="102"/>
    <x v="1"/>
    <x v="2"/>
    <n v="42"/>
    <x v="1"/>
  </r>
  <r>
    <n v="79"/>
    <d v="2024-09-09T00:00:00"/>
    <x v="0"/>
    <s v="2024"/>
    <x v="3"/>
    <x v="1"/>
    <x v="2"/>
    <x v="109"/>
    <x v="103"/>
    <x v="1"/>
    <x v="2"/>
    <n v="42"/>
    <x v="1"/>
  </r>
  <r>
    <n v="55"/>
    <d v="2024-09-14T00:00:00"/>
    <x v="0"/>
    <s v="2024"/>
    <x v="2"/>
    <x v="1"/>
    <x v="3"/>
    <x v="110"/>
    <x v="104"/>
    <x v="1"/>
    <x v="2"/>
    <n v="4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22:F33"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axis="axisRow" showAll="0">
      <items count="11">
        <item x="4"/>
        <item x="8"/>
        <item x="7"/>
        <item x="3"/>
        <item x="0"/>
        <item x="6"/>
        <item x="2"/>
        <item x="5"/>
        <item x="1"/>
        <item x="9"/>
        <item t="default"/>
      </items>
    </pivotField>
    <pivotField showAll="0">
      <items count="5">
        <item x="1"/>
        <item x="0"/>
        <item x="3"/>
        <item x="2"/>
        <item t="default"/>
      </items>
    </pivotField>
    <pivotField dataField="1" showAll="0"/>
    <pivotField showAll="0"/>
    <pivotField showAll="0">
      <items count="20">
        <item x="16"/>
        <item x="17"/>
        <item x="15"/>
        <item x="9"/>
        <item x="18"/>
        <item x="5"/>
        <item x="7"/>
        <item x="10"/>
        <item x="0"/>
        <item x="4"/>
        <item x="3"/>
        <item x="13"/>
        <item x="8"/>
        <item x="2"/>
        <item x="6"/>
        <item x="14"/>
        <item x="12"/>
        <item x="11"/>
        <item x="1"/>
        <item t="default"/>
      </items>
    </pivotField>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UnitsProduced" fld="7" baseField="0" baseItem="0"/>
  </dataField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6:F11"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axis="axisRow"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dataField="1"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UnitsProduced" fld="7" baseField="0" baseItem="0"/>
  </dataFields>
  <chartFormats count="3">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2:B27"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axis="axisRow" showAll="0">
      <items count="5">
        <item x="1"/>
        <item x="0"/>
        <item x="3"/>
        <item x="2"/>
        <item t="default"/>
      </items>
    </pivotField>
    <pivotField dataFiel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UnitsProduced"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54:G166"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axis="axisRow" showAll="0">
      <items count="112">
        <item x="50"/>
        <item x="75"/>
        <item x="11"/>
        <item x="45"/>
        <item x="105"/>
        <item x="9"/>
        <item x="92"/>
        <item x="56"/>
        <item x="86"/>
        <item x="65"/>
        <item x="64"/>
        <item x="27"/>
        <item x="103"/>
        <item x="54"/>
        <item x="29"/>
        <item x="89"/>
        <item x="17"/>
        <item x="52"/>
        <item x="85"/>
        <item x="69"/>
        <item x="32"/>
        <item x="73"/>
        <item x="36"/>
        <item x="12"/>
        <item x="81"/>
        <item x="18"/>
        <item x="67"/>
        <item x="38"/>
        <item x="107"/>
        <item x="82"/>
        <item x="74"/>
        <item x="46"/>
        <item x="47"/>
        <item x="44"/>
        <item x="10"/>
        <item x="48"/>
        <item x="2"/>
        <item x="0"/>
        <item x="87"/>
        <item x="61"/>
        <item x="31"/>
        <item x="4"/>
        <item x="78"/>
        <item x="8"/>
        <item x="94"/>
        <item x="42"/>
        <item x="39"/>
        <item x="5"/>
        <item x="43"/>
        <item x="98"/>
        <item x="13"/>
        <item x="28"/>
        <item x="3"/>
        <item x="101"/>
        <item x="104"/>
        <item x="33"/>
        <item x="53"/>
        <item x="60"/>
        <item x="96"/>
        <item x="84"/>
        <item x="26"/>
        <item x="88"/>
        <item x="23"/>
        <item x="16"/>
        <item x="59"/>
        <item x="1"/>
        <item x="24"/>
        <item x="63"/>
        <item x="21"/>
        <item x="72"/>
        <item x="30"/>
        <item x="37"/>
        <item x="108"/>
        <item x="95"/>
        <item x="58"/>
        <item x="80"/>
        <item x="76"/>
        <item x="7"/>
        <item x="83"/>
        <item x="66"/>
        <item x="99"/>
        <item x="55"/>
        <item x="35"/>
        <item x="106"/>
        <item x="71"/>
        <item x="102"/>
        <item x="100"/>
        <item x="79"/>
        <item x="93"/>
        <item x="19"/>
        <item x="90"/>
        <item x="34"/>
        <item x="41"/>
        <item x="40"/>
        <item x="6"/>
        <item x="14"/>
        <item x="77"/>
        <item x="91"/>
        <item x="97"/>
        <item x="110"/>
        <item x="49"/>
        <item x="70"/>
        <item x="62"/>
        <item x="51"/>
        <item x="22"/>
        <item x="109"/>
        <item x="68"/>
        <item x="57"/>
        <item x="15"/>
        <item x="25"/>
        <item x="20"/>
        <item t="default"/>
      </items>
    </pivotField>
    <pivotField dataField="1" showAll="0"/>
    <pivotField showAll="0"/>
    <pivotField showAll="0"/>
    <pivotField showAll="0"/>
    <pivotField showAll="0"/>
  </pivotFields>
  <rowFields count="1">
    <field x="7"/>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Items count="1">
    <i/>
  </colItems>
  <dataFields count="1">
    <dataField name="Sum of Total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8:G42"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showAll="0"/>
    <pivotField showAll="0"/>
    <pivotField showAll="0"/>
    <pivotField axis="axisRow" dataField="1"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Count of Gender" fld="10" subtotal="count" baseField="0" baseItem="0"/>
  </dataFields>
  <chartFormats count="8">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0" count="1" selected="0">
            <x v="2"/>
          </reference>
        </references>
      </pivotArea>
    </chartFormat>
    <chartFormat chart="3" format="16">
      <pivotArea type="data" outline="0" fieldPosition="0">
        <references count="2">
          <reference field="4294967294" count="1" selected="0">
            <x v="0"/>
          </reference>
          <reference field="10" count="1" selected="0">
            <x v="1"/>
          </reference>
        </references>
      </pivotArea>
    </chartFormat>
    <chartFormat chart="3" format="17">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4:B58" firstHeaderRow="1"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dataField="1" showAll="0"/>
    <pivotField showAll="0"/>
    <pivotField showAll="0"/>
    <pivotField showAll="0"/>
    <pivotField showAll="0"/>
    <pivotField axis="axisRow" showAll="0">
      <items count="4">
        <item x="0"/>
        <item x="1"/>
        <item x="2"/>
        <item t="default"/>
      </items>
    </pivotField>
  </pivotFields>
  <rowFields count="1">
    <field x="12"/>
  </rowFields>
  <rowItems count="4">
    <i>
      <x/>
    </i>
    <i>
      <x v="1"/>
    </i>
    <i>
      <x v="2"/>
    </i>
    <i t="grand">
      <x/>
    </i>
  </rowItems>
  <colItems count="1">
    <i/>
  </colItems>
  <dataFields count="1">
    <dataField name="Sum of UnitsProduced"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8:C43" firstHeaderRow="0" firstDataRow="1" firstDataCol="1"/>
  <pivotFields count="13">
    <pivotField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axis="axisRow" showAll="0">
      <items count="5">
        <item x="1"/>
        <item x="0"/>
        <item x="3"/>
        <item x="2"/>
        <item t="default"/>
      </items>
    </pivotField>
    <pivotField dataField="1" showAll="0"/>
    <pivotField dataField="1"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UnitsProduced" fld="7" baseField="0" baseItem="0"/>
    <dataField name="Sum of TotalCost" fld="8" baseField="0" baseItem="0"/>
  </dataFields>
  <chartFormats count="4">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7:B20" firstHeaderRow="1" firstDataRow="1" firstDataCol="1"/>
  <pivotFields count="13">
    <pivotField showAll="0"/>
    <pivotField numFmtId="14" showAll="0"/>
    <pivotField axis="axisRow"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dataField="1"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UnitsProduced" fld="7" baseField="0" baseItem="0"/>
  </dataFields>
  <chartFormats count="4">
    <chartFormat chart="0"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dataField="1" showAll="0"/>
    <pivotField numFmtId="14" showAll="0"/>
    <pivotField showAll="0">
      <items count="13">
        <item x="4"/>
        <item x="5"/>
        <item x="6"/>
        <item x="7"/>
        <item x="8"/>
        <item x="9"/>
        <item x="10"/>
        <item x="11"/>
        <item x="0"/>
        <item x="1"/>
        <item x="2"/>
        <item x="3"/>
        <item t="default"/>
      </items>
    </pivotField>
    <pivotField showAll="0"/>
    <pivotField showAll="0">
      <items count="5">
        <item x="3"/>
        <item x="0"/>
        <item x="2"/>
        <item x="1"/>
        <item t="default"/>
      </items>
    </pivotField>
    <pivotField showAll="0">
      <items count="11">
        <item x="4"/>
        <item x="8"/>
        <item x="7"/>
        <item x="3"/>
        <item x="0"/>
        <item x="6"/>
        <item x="2"/>
        <item x="5"/>
        <item x="1"/>
        <item x="9"/>
        <item t="default"/>
      </items>
    </pivotField>
    <pivotField showAll="0">
      <items count="5">
        <item x="1"/>
        <item x="0"/>
        <item x="3"/>
        <item x="2"/>
        <item t="default"/>
      </items>
    </pivotField>
    <pivotField dataField="1"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UnitsProduced" fld="7" baseField="0" baseItem="0" numFmtId="164"/>
    <dataField name="Sum of TotalCost" fld="8" baseField="0" baseItem="0" numFmtId="164"/>
    <dataField name="Average of Production Cost" fld="9" subtotal="average" baseField="0" baseItem="1" numFmtId="164"/>
    <dataField name="Count of ProductionID" fld="0" subtotal="count" baseField="0" baseItem="2"/>
  </dataFields>
  <formats count="13">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2" selected="0">
            <x v="0"/>
            <x v="1"/>
          </reference>
        </references>
      </pivotArea>
    </format>
    <format dxfId="5">
      <pivotArea outline="0" collapsedLevelsAreSubtotals="1" fieldPosition="0">
        <references count="1">
          <reference field="4294967294" count="2" selected="0">
            <x v="0"/>
            <x v="1"/>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Type" sourceName="ProductType">
  <pivotTables>
    <pivotTable tabId="3" name="PivotTable1"/>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nager" sourceName="Manager">
  <pivotTables>
    <pivotTable tabId="3" name="PivotTable1"/>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1">
      <items count="10">
        <i x="4" s="1"/>
        <i x="8" s="1"/>
        <i x="7" s="1"/>
        <i x="3" s="1"/>
        <i x="0" s="1"/>
        <i x="6" s="1"/>
        <i x="2" s="1"/>
        <i x="5" s="1"/>
        <i x="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1">
      <items count="12">
        <i x="4" s="1"/>
        <i x="5" s="1"/>
        <i x="6" s="1"/>
        <i x="7" s="1"/>
        <i x="8" s="1"/>
        <i x="9" s="1"/>
        <i x="10" s="1"/>
        <i x="11"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6" rowHeight="241300"/>
  <slicer name="ProductType" cache="Slicer_ProductType" caption="ProductType" style="SlicerStyleLight6" rowHeight="241300"/>
  <slicer name="Manager" cache="Slicer_Manager" caption="Manager" style="SlicerStyleLight6" rowHeight="241300"/>
  <slicer name="Month" cache="Slicer_Month" caption="Month"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6" rowHeight="241300"/>
  <slicer name="ProductType 1" cache="Slicer_ProductType" caption="ProductType" style="SlicerStyleLight6" rowHeight="241300"/>
  <slicer name="Manager 1" cache="Slicer_Manager" caption="Manager" style="SlicerStyleLight6" rowHeight="241300"/>
  <slicer name="Month 1" cache="Slicer_Month" caption="Month"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66"/>
  <sheetViews>
    <sheetView topLeftCell="A34" workbookViewId="0">
      <selection activeCell="E52" sqref="E52"/>
    </sheetView>
  </sheetViews>
  <sheetFormatPr defaultRowHeight="14.5" x14ac:dyDescent="0.35"/>
  <cols>
    <col min="1" max="1" width="12.36328125" customWidth="1"/>
    <col min="2" max="2" width="19.6328125" customWidth="1"/>
    <col min="3" max="3" width="15.1796875" customWidth="1"/>
    <col min="4" max="4" width="19.81640625" customWidth="1"/>
    <col min="5" max="6" width="12.36328125" customWidth="1"/>
    <col min="7" max="7" width="14.81640625" customWidth="1"/>
    <col min="8" max="8" width="19.81640625" customWidth="1"/>
  </cols>
  <sheetData>
    <row r="3" spans="1:6" x14ac:dyDescent="0.35">
      <c r="A3" t="s">
        <v>21</v>
      </c>
      <c r="B3" t="s">
        <v>22</v>
      </c>
      <c r="C3" t="s">
        <v>23</v>
      </c>
      <c r="D3" t="s">
        <v>24</v>
      </c>
    </row>
    <row r="4" spans="1:6" x14ac:dyDescent="0.35">
      <c r="A4" s="6">
        <v>34727</v>
      </c>
      <c r="B4" s="6">
        <v>3371078</v>
      </c>
      <c r="C4" s="6">
        <v>104.76375271091389</v>
      </c>
      <c r="D4" s="1">
        <v>120</v>
      </c>
    </row>
    <row r="6" spans="1:6" x14ac:dyDescent="0.35">
      <c r="E6" s="2" t="s">
        <v>25</v>
      </c>
      <c r="F6" t="s">
        <v>21</v>
      </c>
    </row>
    <row r="7" spans="1:6" x14ac:dyDescent="0.35">
      <c r="A7" s="2" t="s">
        <v>25</v>
      </c>
      <c r="B7" t="s">
        <v>21</v>
      </c>
      <c r="E7" s="3" t="s">
        <v>19</v>
      </c>
      <c r="F7" s="1">
        <v>4883</v>
      </c>
    </row>
    <row r="8" spans="1:6" x14ac:dyDescent="0.35">
      <c r="A8" s="3" t="s">
        <v>26</v>
      </c>
      <c r="B8" s="1">
        <v>3026</v>
      </c>
      <c r="E8" s="3" t="s">
        <v>7</v>
      </c>
      <c r="F8" s="1">
        <v>8037</v>
      </c>
    </row>
    <row r="9" spans="1:6" x14ac:dyDescent="0.35">
      <c r="A9" s="3" t="s">
        <v>27</v>
      </c>
      <c r="B9" s="1">
        <v>4127</v>
      </c>
      <c r="E9" s="3" t="s">
        <v>0</v>
      </c>
      <c r="F9" s="1">
        <v>5284</v>
      </c>
    </row>
    <row r="10" spans="1:6" x14ac:dyDescent="0.35">
      <c r="A10" s="3" t="s">
        <v>28</v>
      </c>
      <c r="B10" s="1">
        <v>3875</v>
      </c>
      <c r="E10" s="3" t="s">
        <v>4</v>
      </c>
      <c r="F10" s="1">
        <v>16523</v>
      </c>
    </row>
    <row r="11" spans="1:6" x14ac:dyDescent="0.35">
      <c r="A11" s="3" t="s">
        <v>29</v>
      </c>
      <c r="B11" s="1">
        <v>1528</v>
      </c>
      <c r="E11" s="3" t="s">
        <v>38</v>
      </c>
      <c r="F11" s="1">
        <v>34727</v>
      </c>
    </row>
    <row r="12" spans="1:6" x14ac:dyDescent="0.35">
      <c r="A12" s="3" t="s">
        <v>30</v>
      </c>
      <c r="B12" s="1">
        <v>1684</v>
      </c>
    </row>
    <row r="13" spans="1:6" x14ac:dyDescent="0.35">
      <c r="A13" s="3" t="s">
        <v>31</v>
      </c>
      <c r="B13" s="1">
        <v>3537</v>
      </c>
    </row>
    <row r="14" spans="1:6" x14ac:dyDescent="0.35">
      <c r="A14" s="3" t="s">
        <v>32</v>
      </c>
      <c r="B14" s="1">
        <v>1536</v>
      </c>
    </row>
    <row r="15" spans="1:6" x14ac:dyDescent="0.35">
      <c r="A15" s="3" t="s">
        <v>33</v>
      </c>
      <c r="B15" s="1">
        <v>2864</v>
      </c>
    </row>
    <row r="16" spans="1:6" x14ac:dyDescent="0.35">
      <c r="A16" s="3" t="s">
        <v>34</v>
      </c>
      <c r="B16" s="1">
        <v>2150</v>
      </c>
    </row>
    <row r="17" spans="1:6" x14ac:dyDescent="0.35">
      <c r="A17" s="3" t="s">
        <v>35</v>
      </c>
      <c r="B17" s="1">
        <v>3103</v>
      </c>
    </row>
    <row r="18" spans="1:6" x14ac:dyDescent="0.35">
      <c r="A18" s="3" t="s">
        <v>36</v>
      </c>
      <c r="B18" s="1">
        <v>4803</v>
      </c>
    </row>
    <row r="19" spans="1:6" x14ac:dyDescent="0.35">
      <c r="A19" s="3" t="s">
        <v>37</v>
      </c>
      <c r="B19" s="1">
        <v>2494</v>
      </c>
    </row>
    <row r="20" spans="1:6" x14ac:dyDescent="0.35">
      <c r="A20" s="3" t="s">
        <v>38</v>
      </c>
      <c r="B20" s="1">
        <v>34727</v>
      </c>
    </row>
    <row r="22" spans="1:6" x14ac:dyDescent="0.35">
      <c r="A22" s="2" t="s">
        <v>25</v>
      </c>
      <c r="B22" t="s">
        <v>21</v>
      </c>
      <c r="E22" s="2" t="s">
        <v>25</v>
      </c>
      <c r="F22" t="s">
        <v>21</v>
      </c>
    </row>
    <row r="23" spans="1:6" x14ac:dyDescent="0.35">
      <c r="A23" s="3" t="s">
        <v>2</v>
      </c>
      <c r="B23" s="1">
        <v>13137</v>
      </c>
      <c r="E23" s="3" t="s">
        <v>13</v>
      </c>
      <c r="F23" s="1">
        <v>2017</v>
      </c>
    </row>
    <row r="24" spans="1:6" x14ac:dyDescent="0.35">
      <c r="A24" s="3" t="s">
        <v>15</v>
      </c>
      <c r="B24" s="1">
        <v>6907</v>
      </c>
      <c r="E24" s="3" t="s">
        <v>18</v>
      </c>
      <c r="F24" s="1">
        <v>1534</v>
      </c>
    </row>
    <row r="25" spans="1:6" x14ac:dyDescent="0.35">
      <c r="A25" s="3" t="s">
        <v>6</v>
      </c>
      <c r="B25" s="1">
        <v>5274</v>
      </c>
      <c r="E25" s="3" t="s">
        <v>14</v>
      </c>
      <c r="F25" s="1">
        <v>1789</v>
      </c>
    </row>
    <row r="26" spans="1:6" x14ac:dyDescent="0.35">
      <c r="A26" s="3" t="s">
        <v>9</v>
      </c>
      <c r="B26" s="1">
        <v>9409</v>
      </c>
      <c r="E26" s="3" t="s">
        <v>17</v>
      </c>
      <c r="F26" s="1">
        <v>1992</v>
      </c>
    </row>
    <row r="27" spans="1:6" x14ac:dyDescent="0.35">
      <c r="A27" s="3" t="s">
        <v>38</v>
      </c>
      <c r="B27" s="1">
        <v>34727</v>
      </c>
      <c r="E27" s="3" t="s">
        <v>12</v>
      </c>
      <c r="F27" s="1">
        <v>6157</v>
      </c>
    </row>
    <row r="28" spans="1:6" x14ac:dyDescent="0.35">
      <c r="E28" s="3" t="s">
        <v>1</v>
      </c>
      <c r="F28" s="1">
        <v>3576</v>
      </c>
    </row>
    <row r="29" spans="1:6" x14ac:dyDescent="0.35">
      <c r="E29" s="3" t="s">
        <v>5</v>
      </c>
      <c r="F29" s="1">
        <v>2049</v>
      </c>
    </row>
    <row r="30" spans="1:6" x14ac:dyDescent="0.35">
      <c r="E30" s="3" t="s">
        <v>11</v>
      </c>
      <c r="F30" s="1">
        <v>3566</v>
      </c>
    </row>
    <row r="31" spans="1:6" x14ac:dyDescent="0.35">
      <c r="E31" s="3" t="s">
        <v>16</v>
      </c>
      <c r="F31" s="1">
        <v>10562</v>
      </c>
    </row>
    <row r="32" spans="1:6" x14ac:dyDescent="0.35">
      <c r="E32" s="3" t="s">
        <v>8</v>
      </c>
      <c r="F32" s="1">
        <v>1485</v>
      </c>
    </row>
    <row r="33" spans="1:7" x14ac:dyDescent="0.35">
      <c r="E33" s="3" t="s">
        <v>38</v>
      </c>
      <c r="F33" s="1">
        <v>34727</v>
      </c>
    </row>
    <row r="38" spans="1:7" x14ac:dyDescent="0.35">
      <c r="A38" s="2" t="s">
        <v>25</v>
      </c>
      <c r="B38" t="s">
        <v>21</v>
      </c>
      <c r="C38" t="s">
        <v>22</v>
      </c>
      <c r="F38" s="2" t="s">
        <v>25</v>
      </c>
      <c r="G38" t="s">
        <v>39</v>
      </c>
    </row>
    <row r="39" spans="1:7" x14ac:dyDescent="0.35">
      <c r="A39" s="3" t="s">
        <v>2</v>
      </c>
      <c r="B39" s="1">
        <v>13137</v>
      </c>
      <c r="C39" s="1">
        <v>1152805</v>
      </c>
      <c r="F39" s="3" t="s">
        <v>3</v>
      </c>
      <c r="G39" s="1">
        <v>56</v>
      </c>
    </row>
    <row r="40" spans="1:7" x14ac:dyDescent="0.35">
      <c r="A40" s="3" t="s">
        <v>15</v>
      </c>
      <c r="B40" s="1">
        <v>6907</v>
      </c>
      <c r="C40" s="1">
        <v>604575</v>
      </c>
      <c r="F40" s="3" t="s">
        <v>10</v>
      </c>
      <c r="G40" s="1">
        <v>53</v>
      </c>
    </row>
    <row r="41" spans="1:7" x14ac:dyDescent="0.35">
      <c r="A41" s="3" t="s">
        <v>6</v>
      </c>
      <c r="B41" s="1">
        <v>5274</v>
      </c>
      <c r="C41" s="1">
        <v>703282</v>
      </c>
      <c r="F41" s="3" t="s">
        <v>20</v>
      </c>
      <c r="G41" s="1">
        <v>11</v>
      </c>
    </row>
    <row r="42" spans="1:7" x14ac:dyDescent="0.35">
      <c r="A42" s="3" t="s">
        <v>9</v>
      </c>
      <c r="B42" s="1">
        <v>9409</v>
      </c>
      <c r="C42" s="1">
        <v>910416</v>
      </c>
      <c r="F42" s="3" t="s">
        <v>38</v>
      </c>
      <c r="G42" s="1">
        <v>120</v>
      </c>
    </row>
    <row r="43" spans="1:7" x14ac:dyDescent="0.35">
      <c r="A43" s="3" t="s">
        <v>38</v>
      </c>
      <c r="B43" s="1">
        <v>34727</v>
      </c>
      <c r="C43" s="1">
        <v>3371078</v>
      </c>
    </row>
    <row r="54" spans="1:7" x14ac:dyDescent="0.35">
      <c r="A54" s="2" t="s">
        <v>25</v>
      </c>
      <c r="B54" t="s">
        <v>21</v>
      </c>
      <c r="F54" s="2" t="s">
        <v>25</v>
      </c>
      <c r="G54" t="s">
        <v>22</v>
      </c>
    </row>
    <row r="55" spans="1:7" x14ac:dyDescent="0.35">
      <c r="A55" s="3" t="s">
        <v>40</v>
      </c>
      <c r="B55" s="1">
        <v>15531</v>
      </c>
      <c r="F55" s="3">
        <v>32</v>
      </c>
      <c r="G55" s="1">
        <v>3132</v>
      </c>
    </row>
    <row r="56" spans="1:7" x14ac:dyDescent="0.35">
      <c r="A56" s="3" t="s">
        <v>41</v>
      </c>
      <c r="B56" s="1">
        <v>12047</v>
      </c>
      <c r="F56" s="3">
        <v>51</v>
      </c>
      <c r="G56" s="1">
        <v>92168</v>
      </c>
    </row>
    <row r="57" spans="1:7" x14ac:dyDescent="0.35">
      <c r="A57" s="3" t="s">
        <v>42</v>
      </c>
      <c r="B57" s="1">
        <v>7149</v>
      </c>
      <c r="F57" s="3">
        <v>55</v>
      </c>
      <c r="G57" s="1">
        <v>25893</v>
      </c>
    </row>
    <row r="58" spans="1:7" x14ac:dyDescent="0.35">
      <c r="A58" s="3" t="s">
        <v>38</v>
      </c>
      <c r="B58" s="1">
        <v>34727</v>
      </c>
      <c r="F58" s="3">
        <v>60</v>
      </c>
      <c r="G58" s="1">
        <v>5822</v>
      </c>
    </row>
    <row r="59" spans="1:7" x14ac:dyDescent="0.35">
      <c r="F59" s="3">
        <v>62</v>
      </c>
      <c r="G59" s="1">
        <v>31500</v>
      </c>
    </row>
    <row r="60" spans="1:7" x14ac:dyDescent="0.35">
      <c r="F60" s="3">
        <v>63</v>
      </c>
      <c r="G60" s="1">
        <v>3960</v>
      </c>
    </row>
    <row r="61" spans="1:7" x14ac:dyDescent="0.35">
      <c r="F61" s="3">
        <v>68</v>
      </c>
      <c r="G61" s="1">
        <v>11696</v>
      </c>
    </row>
    <row r="62" spans="1:7" x14ac:dyDescent="0.35">
      <c r="F62" s="3">
        <v>74</v>
      </c>
      <c r="G62" s="1">
        <v>36708</v>
      </c>
    </row>
    <row r="63" spans="1:7" x14ac:dyDescent="0.35">
      <c r="F63" s="3">
        <v>79</v>
      </c>
      <c r="G63" s="1">
        <v>11078</v>
      </c>
    </row>
    <row r="64" spans="1:7" x14ac:dyDescent="0.35">
      <c r="F64" s="3">
        <v>81</v>
      </c>
      <c r="G64" s="1">
        <v>31414</v>
      </c>
    </row>
    <row r="65" spans="6:7" x14ac:dyDescent="0.35">
      <c r="F65" s="3">
        <v>84</v>
      </c>
      <c r="G65" s="1">
        <v>10688</v>
      </c>
    </row>
    <row r="66" spans="6:7" x14ac:dyDescent="0.35">
      <c r="F66" s="3">
        <v>86</v>
      </c>
      <c r="G66" s="1">
        <v>25853</v>
      </c>
    </row>
    <row r="67" spans="6:7" x14ac:dyDescent="0.35">
      <c r="F67" s="3">
        <v>90</v>
      </c>
      <c r="G67" s="1">
        <v>42328</v>
      </c>
    </row>
    <row r="68" spans="6:7" x14ac:dyDescent="0.35">
      <c r="F68" s="3">
        <v>95</v>
      </c>
      <c r="G68" s="1">
        <v>46800</v>
      </c>
    </row>
    <row r="69" spans="6:7" x14ac:dyDescent="0.35">
      <c r="F69" s="3">
        <v>97</v>
      </c>
      <c r="G69" s="1">
        <v>1358</v>
      </c>
    </row>
    <row r="70" spans="6:7" x14ac:dyDescent="0.35">
      <c r="F70" s="3">
        <v>115</v>
      </c>
      <c r="G70" s="1">
        <v>48880</v>
      </c>
    </row>
    <row r="71" spans="6:7" x14ac:dyDescent="0.35">
      <c r="F71" s="3">
        <v>126</v>
      </c>
      <c r="G71" s="1">
        <v>40446</v>
      </c>
    </row>
    <row r="72" spans="6:7" x14ac:dyDescent="0.35">
      <c r="F72" s="3">
        <v>128</v>
      </c>
      <c r="G72" s="1">
        <v>35767</v>
      </c>
    </row>
    <row r="73" spans="6:7" x14ac:dyDescent="0.35">
      <c r="F73" s="3">
        <v>130</v>
      </c>
      <c r="G73" s="1">
        <v>16740</v>
      </c>
    </row>
    <row r="74" spans="6:7" x14ac:dyDescent="0.35">
      <c r="F74" s="3">
        <v>145</v>
      </c>
      <c r="G74" s="1">
        <v>43615</v>
      </c>
    </row>
    <row r="75" spans="6:7" x14ac:dyDescent="0.35">
      <c r="F75" s="3">
        <v>151</v>
      </c>
      <c r="G75" s="1">
        <v>8475</v>
      </c>
    </row>
    <row r="76" spans="6:7" x14ac:dyDescent="0.35">
      <c r="F76" s="3">
        <v>155</v>
      </c>
      <c r="G76" s="1">
        <v>11092</v>
      </c>
    </row>
    <row r="77" spans="6:7" x14ac:dyDescent="0.35">
      <c r="F77" s="3">
        <v>160</v>
      </c>
      <c r="G77" s="1">
        <v>59248</v>
      </c>
    </row>
    <row r="78" spans="6:7" x14ac:dyDescent="0.35">
      <c r="F78" s="3">
        <v>165</v>
      </c>
      <c r="G78" s="1">
        <v>679</v>
      </c>
    </row>
    <row r="79" spans="6:7" x14ac:dyDescent="0.35">
      <c r="F79" s="3">
        <v>173</v>
      </c>
      <c r="G79" s="1">
        <v>24549</v>
      </c>
    </row>
    <row r="80" spans="6:7" x14ac:dyDescent="0.35">
      <c r="F80" s="3">
        <v>177</v>
      </c>
      <c r="G80" s="1">
        <v>30600</v>
      </c>
    </row>
    <row r="81" spans="6:7" x14ac:dyDescent="0.35">
      <c r="F81" s="3">
        <v>178</v>
      </c>
      <c r="G81" s="1">
        <v>42028</v>
      </c>
    </row>
    <row r="82" spans="6:7" x14ac:dyDescent="0.35">
      <c r="F82" s="3">
        <v>180</v>
      </c>
      <c r="G82" s="1">
        <v>33684</v>
      </c>
    </row>
    <row r="83" spans="6:7" x14ac:dyDescent="0.35">
      <c r="F83" s="3">
        <v>183</v>
      </c>
      <c r="G83" s="1">
        <v>679</v>
      </c>
    </row>
    <row r="84" spans="6:7" x14ac:dyDescent="0.35">
      <c r="F84" s="3">
        <v>188</v>
      </c>
      <c r="G84" s="1">
        <v>679</v>
      </c>
    </row>
    <row r="85" spans="6:7" x14ac:dyDescent="0.35">
      <c r="F85" s="3">
        <v>190</v>
      </c>
      <c r="G85" s="1">
        <v>28050</v>
      </c>
    </row>
    <row r="86" spans="6:7" x14ac:dyDescent="0.35">
      <c r="F86" s="3">
        <v>192</v>
      </c>
      <c r="G86" s="1">
        <v>18648</v>
      </c>
    </row>
    <row r="87" spans="6:7" x14ac:dyDescent="0.35">
      <c r="F87" s="3">
        <v>193</v>
      </c>
      <c r="G87" s="1">
        <v>18796</v>
      </c>
    </row>
    <row r="88" spans="6:7" x14ac:dyDescent="0.35">
      <c r="F88" s="3">
        <v>199</v>
      </c>
      <c r="G88" s="1">
        <v>56118</v>
      </c>
    </row>
    <row r="89" spans="6:7" x14ac:dyDescent="0.35">
      <c r="F89" s="3">
        <v>208</v>
      </c>
      <c r="G89" s="1">
        <v>25758</v>
      </c>
    </row>
    <row r="90" spans="6:7" x14ac:dyDescent="0.35">
      <c r="F90" s="3">
        <v>209</v>
      </c>
      <c r="G90" s="1">
        <v>51221</v>
      </c>
    </row>
    <row r="91" spans="6:7" x14ac:dyDescent="0.35">
      <c r="F91" s="3">
        <v>213</v>
      </c>
      <c r="G91" s="1">
        <v>42028</v>
      </c>
    </row>
    <row r="92" spans="6:7" x14ac:dyDescent="0.35">
      <c r="F92" s="3">
        <v>214</v>
      </c>
      <c r="G92" s="1">
        <v>48060</v>
      </c>
    </row>
    <row r="93" spans="6:7" x14ac:dyDescent="0.35">
      <c r="F93" s="3">
        <v>216</v>
      </c>
      <c r="G93" s="1">
        <v>36934</v>
      </c>
    </row>
    <row r="94" spans="6:7" x14ac:dyDescent="0.35">
      <c r="F94" s="3">
        <v>218</v>
      </c>
      <c r="G94" s="1">
        <v>7125</v>
      </c>
    </row>
    <row r="95" spans="6:7" x14ac:dyDescent="0.35">
      <c r="F95" s="3">
        <v>222</v>
      </c>
      <c r="G95" s="1">
        <v>17500</v>
      </c>
    </row>
    <row r="96" spans="6:7" x14ac:dyDescent="0.35">
      <c r="F96" s="3">
        <v>231</v>
      </c>
      <c r="G96" s="1">
        <v>32045</v>
      </c>
    </row>
    <row r="97" spans="6:7" x14ac:dyDescent="0.35">
      <c r="F97" s="3">
        <v>236</v>
      </c>
      <c r="G97" s="1">
        <v>679</v>
      </c>
    </row>
    <row r="98" spans="6:7" x14ac:dyDescent="0.35">
      <c r="F98" s="3">
        <v>240</v>
      </c>
      <c r="G98" s="1">
        <v>65052</v>
      </c>
    </row>
    <row r="99" spans="6:7" x14ac:dyDescent="0.35">
      <c r="F99" s="3">
        <v>248</v>
      </c>
      <c r="G99" s="1">
        <v>12870</v>
      </c>
    </row>
    <row r="100" spans="6:7" x14ac:dyDescent="0.35">
      <c r="F100" s="3">
        <v>250</v>
      </c>
      <c r="G100" s="1">
        <v>11385</v>
      </c>
    </row>
    <row r="101" spans="6:7" x14ac:dyDescent="0.35">
      <c r="F101" s="3">
        <v>255</v>
      </c>
      <c r="G101" s="1">
        <v>57706</v>
      </c>
    </row>
    <row r="102" spans="6:7" x14ac:dyDescent="0.35">
      <c r="F102" s="3">
        <v>260</v>
      </c>
      <c r="G102" s="1">
        <v>34680</v>
      </c>
    </row>
    <row r="103" spans="6:7" x14ac:dyDescent="0.35">
      <c r="F103" s="3">
        <v>264</v>
      </c>
      <c r="G103" s="1">
        <v>75332</v>
      </c>
    </row>
    <row r="104" spans="6:7" x14ac:dyDescent="0.35">
      <c r="F104" s="3">
        <v>265</v>
      </c>
      <c r="G104" s="1">
        <v>12320</v>
      </c>
    </row>
    <row r="105" spans="6:7" x14ac:dyDescent="0.35">
      <c r="F105" s="3">
        <v>288</v>
      </c>
      <c r="G105" s="1">
        <v>33284</v>
      </c>
    </row>
    <row r="106" spans="6:7" x14ac:dyDescent="0.35">
      <c r="F106" s="3">
        <v>289</v>
      </c>
      <c r="G106" s="1">
        <v>24948</v>
      </c>
    </row>
    <row r="107" spans="6:7" x14ac:dyDescent="0.35">
      <c r="F107" s="3">
        <v>290</v>
      </c>
      <c r="G107" s="1">
        <v>15132</v>
      </c>
    </row>
    <row r="108" spans="6:7" x14ac:dyDescent="0.35">
      <c r="F108" s="3">
        <v>305</v>
      </c>
      <c r="G108" s="1">
        <v>3186</v>
      </c>
    </row>
    <row r="109" spans="6:7" x14ac:dyDescent="0.35">
      <c r="F109" s="3">
        <v>306</v>
      </c>
      <c r="G109" s="1">
        <v>679</v>
      </c>
    </row>
    <row r="110" spans="6:7" x14ac:dyDescent="0.35">
      <c r="F110" s="3">
        <v>307</v>
      </c>
      <c r="G110" s="1">
        <v>679</v>
      </c>
    </row>
    <row r="111" spans="6:7" x14ac:dyDescent="0.35">
      <c r="F111" s="3">
        <v>308</v>
      </c>
      <c r="G111" s="1">
        <v>27956</v>
      </c>
    </row>
    <row r="112" spans="6:7" x14ac:dyDescent="0.35">
      <c r="F112" s="3">
        <v>318</v>
      </c>
      <c r="G112" s="1">
        <v>16864</v>
      </c>
    </row>
    <row r="113" spans="6:7" x14ac:dyDescent="0.35">
      <c r="F113" s="3">
        <v>319</v>
      </c>
      <c r="G113" s="1">
        <v>4221</v>
      </c>
    </row>
    <row r="114" spans="6:7" x14ac:dyDescent="0.35">
      <c r="F114" s="3">
        <v>322</v>
      </c>
      <c r="G114" s="1">
        <v>29440</v>
      </c>
    </row>
    <row r="115" spans="6:7" x14ac:dyDescent="0.35">
      <c r="F115" s="3">
        <v>331</v>
      </c>
      <c r="G115" s="1">
        <v>27140</v>
      </c>
    </row>
    <row r="116" spans="6:7" x14ac:dyDescent="0.35">
      <c r="F116" s="3">
        <v>332</v>
      </c>
      <c r="G116" s="1">
        <v>679</v>
      </c>
    </row>
    <row r="117" spans="6:7" x14ac:dyDescent="0.35">
      <c r="F117" s="3">
        <v>333</v>
      </c>
      <c r="G117" s="1">
        <v>48000</v>
      </c>
    </row>
    <row r="118" spans="6:7" x14ac:dyDescent="0.35">
      <c r="F118" s="3">
        <v>335</v>
      </c>
      <c r="G118" s="1">
        <v>36984</v>
      </c>
    </row>
    <row r="119" spans="6:7" x14ac:dyDescent="0.35">
      <c r="F119" s="3">
        <v>343</v>
      </c>
      <c r="G119" s="1">
        <v>33344</v>
      </c>
    </row>
    <row r="120" spans="6:7" x14ac:dyDescent="0.35">
      <c r="F120" s="3">
        <v>344</v>
      </c>
      <c r="G120" s="1">
        <v>13872</v>
      </c>
    </row>
    <row r="121" spans="6:7" x14ac:dyDescent="0.35">
      <c r="F121" s="3">
        <v>354</v>
      </c>
      <c r="G121" s="1">
        <v>679</v>
      </c>
    </row>
    <row r="122" spans="6:7" x14ac:dyDescent="0.35">
      <c r="F122" s="3">
        <v>358</v>
      </c>
      <c r="G122" s="1">
        <v>13568</v>
      </c>
    </row>
    <row r="123" spans="6:7" x14ac:dyDescent="0.35">
      <c r="F123" s="3">
        <v>359</v>
      </c>
      <c r="G123" s="1">
        <v>12753</v>
      </c>
    </row>
    <row r="124" spans="6:7" x14ac:dyDescent="0.35">
      <c r="F124" s="3">
        <v>363</v>
      </c>
      <c r="G124" s="1">
        <v>38232</v>
      </c>
    </row>
    <row r="125" spans="6:7" x14ac:dyDescent="0.35">
      <c r="F125" s="3">
        <v>366</v>
      </c>
      <c r="G125" s="1">
        <v>4131</v>
      </c>
    </row>
    <row r="126" spans="6:7" x14ac:dyDescent="0.35">
      <c r="F126" s="3">
        <v>368</v>
      </c>
      <c r="G126" s="1">
        <v>71322</v>
      </c>
    </row>
    <row r="127" spans="6:7" x14ac:dyDescent="0.35">
      <c r="F127" s="3">
        <v>369</v>
      </c>
      <c r="G127" s="1">
        <v>5246</v>
      </c>
    </row>
    <row r="128" spans="6:7" x14ac:dyDescent="0.35">
      <c r="F128" s="3">
        <v>376</v>
      </c>
      <c r="G128" s="1">
        <v>679</v>
      </c>
    </row>
    <row r="129" spans="6:7" x14ac:dyDescent="0.35">
      <c r="F129" s="3">
        <v>380</v>
      </c>
      <c r="G129" s="1">
        <v>44525</v>
      </c>
    </row>
    <row r="130" spans="6:7" x14ac:dyDescent="0.35">
      <c r="F130" s="3">
        <v>382</v>
      </c>
      <c r="G130" s="1">
        <v>37490</v>
      </c>
    </row>
    <row r="131" spans="6:7" x14ac:dyDescent="0.35">
      <c r="F131" s="3">
        <v>383</v>
      </c>
      <c r="G131" s="1">
        <v>39008</v>
      </c>
    </row>
    <row r="132" spans="6:7" x14ac:dyDescent="0.35">
      <c r="F132" s="3">
        <v>384</v>
      </c>
      <c r="G132" s="1">
        <v>40565</v>
      </c>
    </row>
    <row r="133" spans="6:7" x14ac:dyDescent="0.35">
      <c r="F133" s="3">
        <v>386</v>
      </c>
      <c r="G133" s="1">
        <v>47952</v>
      </c>
    </row>
    <row r="134" spans="6:7" x14ac:dyDescent="0.35">
      <c r="F134" s="3">
        <v>389</v>
      </c>
      <c r="G134" s="1">
        <v>37744</v>
      </c>
    </row>
    <row r="135" spans="6:7" x14ac:dyDescent="0.35">
      <c r="F135" s="3">
        <v>396</v>
      </c>
      <c r="G135" s="1">
        <v>38480</v>
      </c>
    </row>
    <row r="136" spans="6:7" x14ac:dyDescent="0.35">
      <c r="F136" s="3">
        <v>401</v>
      </c>
      <c r="G136" s="1">
        <v>19691</v>
      </c>
    </row>
    <row r="137" spans="6:7" x14ac:dyDescent="0.35">
      <c r="F137" s="3">
        <v>404</v>
      </c>
      <c r="G137" s="1">
        <v>13310</v>
      </c>
    </row>
    <row r="138" spans="6:7" x14ac:dyDescent="0.35">
      <c r="F138" s="3">
        <v>406</v>
      </c>
      <c r="G138" s="1">
        <v>47880</v>
      </c>
    </row>
    <row r="139" spans="6:7" x14ac:dyDescent="0.35">
      <c r="F139" s="3">
        <v>412</v>
      </c>
      <c r="G139" s="1">
        <v>22288</v>
      </c>
    </row>
    <row r="140" spans="6:7" x14ac:dyDescent="0.35">
      <c r="F140" s="3">
        <v>422</v>
      </c>
      <c r="G140" s="1">
        <v>13490</v>
      </c>
    </row>
    <row r="141" spans="6:7" x14ac:dyDescent="0.35">
      <c r="F141" s="3">
        <v>429</v>
      </c>
      <c r="G141" s="1">
        <v>58208</v>
      </c>
    </row>
    <row r="142" spans="6:7" x14ac:dyDescent="0.35">
      <c r="F142" s="3">
        <v>430</v>
      </c>
      <c r="G142" s="1">
        <v>66500</v>
      </c>
    </row>
    <row r="143" spans="6:7" x14ac:dyDescent="0.35">
      <c r="F143" s="3">
        <v>435</v>
      </c>
      <c r="G143" s="1">
        <v>64090</v>
      </c>
    </row>
    <row r="144" spans="6:7" x14ac:dyDescent="0.35">
      <c r="F144" s="3">
        <v>439</v>
      </c>
      <c r="G144" s="1">
        <v>31392</v>
      </c>
    </row>
    <row r="145" spans="6:7" x14ac:dyDescent="0.35">
      <c r="F145" s="3">
        <v>443</v>
      </c>
      <c r="G145" s="1">
        <v>50652</v>
      </c>
    </row>
    <row r="146" spans="6:7" x14ac:dyDescent="0.35">
      <c r="F146" s="3">
        <v>444</v>
      </c>
      <c r="G146" s="1">
        <v>7272</v>
      </c>
    </row>
    <row r="147" spans="6:7" x14ac:dyDescent="0.35">
      <c r="F147" s="3">
        <v>447</v>
      </c>
      <c r="G147" s="1">
        <v>52269</v>
      </c>
    </row>
    <row r="148" spans="6:7" x14ac:dyDescent="0.35">
      <c r="F148" s="3">
        <v>458</v>
      </c>
      <c r="G148" s="1">
        <v>42873</v>
      </c>
    </row>
    <row r="149" spans="6:7" x14ac:dyDescent="0.35">
      <c r="F149" s="3">
        <v>459</v>
      </c>
      <c r="G149" s="1">
        <v>17069</v>
      </c>
    </row>
    <row r="150" spans="6:7" x14ac:dyDescent="0.35">
      <c r="F150" s="3">
        <v>460</v>
      </c>
      <c r="G150" s="1">
        <v>50274</v>
      </c>
    </row>
    <row r="151" spans="6:7" x14ac:dyDescent="0.35">
      <c r="F151" s="3">
        <v>462</v>
      </c>
      <c r="G151" s="1">
        <v>26145</v>
      </c>
    </row>
    <row r="152" spans="6:7" x14ac:dyDescent="0.35">
      <c r="F152" s="3">
        <v>465</v>
      </c>
      <c r="G152" s="1">
        <v>679</v>
      </c>
    </row>
    <row r="153" spans="6:7" x14ac:dyDescent="0.35">
      <c r="F153" s="3">
        <v>478</v>
      </c>
      <c r="G153" s="1">
        <v>76076</v>
      </c>
    </row>
    <row r="154" spans="6:7" x14ac:dyDescent="0.35">
      <c r="F154" s="3">
        <v>491</v>
      </c>
      <c r="G154" s="1">
        <v>59458</v>
      </c>
    </row>
    <row r="155" spans="6:7" x14ac:dyDescent="0.35">
      <c r="F155" s="3">
        <v>494</v>
      </c>
      <c r="G155" s="1">
        <v>46767</v>
      </c>
    </row>
    <row r="156" spans="6:7" x14ac:dyDescent="0.35">
      <c r="F156" s="3">
        <v>495</v>
      </c>
      <c r="G156" s="1">
        <v>679</v>
      </c>
    </row>
    <row r="157" spans="6:7" x14ac:dyDescent="0.35">
      <c r="F157" s="3">
        <v>497</v>
      </c>
      <c r="G157" s="1">
        <v>46548</v>
      </c>
    </row>
    <row r="158" spans="6:7" x14ac:dyDescent="0.35">
      <c r="F158" s="3">
        <v>499</v>
      </c>
      <c r="G158" s="1">
        <v>48316</v>
      </c>
    </row>
    <row r="159" spans="6:7" x14ac:dyDescent="0.35">
      <c r="F159" s="3">
        <v>511</v>
      </c>
      <c r="G159" s="1">
        <v>17377</v>
      </c>
    </row>
    <row r="160" spans="6:7" x14ac:dyDescent="0.35">
      <c r="F160" s="3">
        <v>519</v>
      </c>
      <c r="G160" s="1">
        <v>45312</v>
      </c>
    </row>
    <row r="161" spans="6:7" x14ac:dyDescent="0.35">
      <c r="F161" s="3">
        <v>527</v>
      </c>
      <c r="G161" s="1">
        <v>51168</v>
      </c>
    </row>
    <row r="162" spans="6:7" x14ac:dyDescent="0.35">
      <c r="F162" s="3">
        <v>535</v>
      </c>
      <c r="G162" s="1">
        <v>44330</v>
      </c>
    </row>
    <row r="163" spans="6:7" x14ac:dyDescent="0.35">
      <c r="F163" s="3">
        <v>541</v>
      </c>
      <c r="G163" s="1">
        <v>42432</v>
      </c>
    </row>
    <row r="164" spans="6:7" x14ac:dyDescent="0.35">
      <c r="F164" s="3">
        <v>545</v>
      </c>
      <c r="G164" s="1">
        <v>65250</v>
      </c>
    </row>
    <row r="165" spans="6:7" x14ac:dyDescent="0.35">
      <c r="F165" s="3">
        <v>666</v>
      </c>
      <c r="G165" s="1">
        <v>64635</v>
      </c>
    </row>
    <row r="166" spans="6:7" x14ac:dyDescent="0.35">
      <c r="F166" s="3" t="s">
        <v>38</v>
      </c>
      <c r="G166" s="1">
        <v>3371078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tabSelected="1" zoomScaleNormal="100" workbookViewId="0">
      <selection activeCell="F5" sqref="F5"/>
    </sheetView>
  </sheetViews>
  <sheetFormatPr defaultRowHeight="14.5" x14ac:dyDescent="0.35"/>
  <cols>
    <col min="1" max="1" width="26.36328125" style="4" customWidth="1"/>
  </cols>
  <sheetData>
    <row r="2" spans="1:1" ht="28.5" x14ac:dyDescent="0.35">
      <c r="A2" s="5" t="s">
        <v>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1" sqref="B1:B10"/>
    </sheetView>
  </sheetViews>
  <sheetFormatPr defaultRowHeight="14.5" x14ac:dyDescent="0.35"/>
  <cols>
    <col min="1" max="1" width="11.453125" customWidth="1"/>
  </cols>
  <sheetData>
    <row r="1" spans="1:2" x14ac:dyDescent="0.35">
      <c r="A1" t="s">
        <v>12</v>
      </c>
      <c r="B1" t="str">
        <f>VLOOKUP(A1,'[1]Production Dataset'!$F$1:$K$121,6,0)</f>
        <v>Female</v>
      </c>
    </row>
    <row r="2" spans="1:2" x14ac:dyDescent="0.35">
      <c r="A2" t="s">
        <v>16</v>
      </c>
      <c r="B2" t="str">
        <f>VLOOKUP(A2,'[1]Production Dataset'!$F$1:$K$121,6,0)</f>
        <v>Female</v>
      </c>
    </row>
    <row r="3" spans="1:2" x14ac:dyDescent="0.35">
      <c r="A3" t="s">
        <v>5</v>
      </c>
      <c r="B3" t="str">
        <f>VLOOKUP(A3,'[1]Production Dataset'!$F$1:$K$121,6,0)</f>
        <v>Female</v>
      </c>
    </row>
    <row r="4" spans="1:2" x14ac:dyDescent="0.35">
      <c r="A4" t="s">
        <v>17</v>
      </c>
      <c r="B4" t="str">
        <f>VLOOKUP(A4,'[1]Production Dataset'!$F$1:$K$121,6,0)</f>
        <v>Unknown</v>
      </c>
    </row>
    <row r="5" spans="1:2" x14ac:dyDescent="0.35">
      <c r="A5" t="s">
        <v>13</v>
      </c>
      <c r="B5" t="str">
        <f>VLOOKUP(A5,'[1]Production Dataset'!$F$1:$K$121,6,0)</f>
        <v>Female</v>
      </c>
    </row>
    <row r="6" spans="1:2" x14ac:dyDescent="0.35">
      <c r="A6" t="s">
        <v>11</v>
      </c>
      <c r="B6" t="str">
        <f>VLOOKUP(A6,'[1]Production Dataset'!$F$1:$K$121,6,0)</f>
        <v>Unknown</v>
      </c>
    </row>
    <row r="7" spans="1:2" x14ac:dyDescent="0.35">
      <c r="A7" t="s">
        <v>1</v>
      </c>
      <c r="B7" t="str">
        <f>VLOOKUP(A7,'[1]Production Dataset'!$F$1:$K$121,6,0)</f>
        <v>Female</v>
      </c>
    </row>
    <row r="8" spans="1:2" x14ac:dyDescent="0.35">
      <c r="A8" t="s">
        <v>14</v>
      </c>
      <c r="B8" t="str">
        <f>VLOOKUP(A8,'[1]Production Dataset'!$F$1:$K$121,6,0)</f>
        <v>Female</v>
      </c>
    </row>
    <row r="9" spans="1:2" x14ac:dyDescent="0.35">
      <c r="A9" t="s">
        <v>18</v>
      </c>
      <c r="B9" t="str">
        <f>VLOOKUP(A9,'[1]Production Dataset'!$F$1:$K$121,6,0)</f>
        <v>Female</v>
      </c>
    </row>
    <row r="10" spans="1:2" x14ac:dyDescent="0.35">
      <c r="A10" t="s">
        <v>8</v>
      </c>
      <c r="B10" t="str">
        <f>VLOOKUP(A10,'[1]Production Dataset'!$F$1:$K$121,6,0)</f>
        <v>Female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Het Marakna</cp:lastModifiedBy>
  <dcterms:created xsi:type="dcterms:W3CDTF">2015-06-05T18:17:20Z</dcterms:created>
  <dcterms:modified xsi:type="dcterms:W3CDTF">2026-04-02T07:27:01Z</dcterms:modified>
</cp:coreProperties>
</file>